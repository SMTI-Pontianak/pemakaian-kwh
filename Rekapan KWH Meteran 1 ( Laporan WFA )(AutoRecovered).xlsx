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45" windowWidth="20730" windowHeight="11700" tabRatio="609" activeTab="1"/>
  </bookViews>
  <sheets>
    <sheet name="JULI (METERAN 1)" sheetId="1" r:id="rId1"/>
    <sheet name="JULI (METERAN 2)" sheetId="3" r:id="rId2"/>
    <sheet name="AGUSTUS (METERAN 1)" sheetId="2" r:id="rId3"/>
    <sheet name="AGUSTUS (METERAN 2) " sheetId="4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4" l="1"/>
  <c r="F21" i="3"/>
  <c r="F20" i="1"/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8" i="2"/>
  <c r="F7" i="2"/>
  <c r="F6" i="2"/>
  <c r="F5" i="2"/>
  <c r="F4" i="2"/>
  <c r="F41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F19" i="3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5" i="2"/>
  <c r="F34" i="2"/>
  <c r="F33" i="2"/>
  <c r="F32" i="2"/>
  <c r="F31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77" i="2" s="1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26" i="2" l="1"/>
  <c r="F57" i="2"/>
</calcChain>
</file>

<file path=xl/sharedStrings.xml><?xml version="1.0" encoding="utf-8"?>
<sst xmlns="http://schemas.openxmlformats.org/spreadsheetml/2006/main" count="294" uniqueCount="62">
  <si>
    <t>NO</t>
  </si>
  <si>
    <t>TANGGAL</t>
  </si>
  <si>
    <t>BULAN JULI</t>
  </si>
  <si>
    <t>14 Juli 2026</t>
  </si>
  <si>
    <t>15 Juli 2026</t>
  </si>
  <si>
    <t>16 Juli 2026</t>
  </si>
  <si>
    <t>17 Juli 2026</t>
  </si>
  <si>
    <t>20 Juli 2026</t>
  </si>
  <si>
    <t>21 Juli 2026</t>
  </si>
  <si>
    <t>22 Juli 2026</t>
  </si>
  <si>
    <t>23 Juli 2026</t>
  </si>
  <si>
    <t>24 Juli 2026</t>
  </si>
  <si>
    <t>25 Juli 2026</t>
  </si>
  <si>
    <t>26 Juli 2026</t>
  </si>
  <si>
    <t>HARI</t>
  </si>
  <si>
    <t>Selasa</t>
  </si>
  <si>
    <t>Rabu</t>
  </si>
  <si>
    <t>Kamis</t>
  </si>
  <si>
    <t>Jum'at</t>
  </si>
  <si>
    <t>Senin</t>
  </si>
  <si>
    <t>Sabtu</t>
  </si>
  <si>
    <t>Minggu</t>
  </si>
  <si>
    <t>METERAN 1 (KWH 05) Jam 08.00 WIB</t>
  </si>
  <si>
    <t>METERAN 1 (KWH 05) Jam 16.00 WIB</t>
  </si>
  <si>
    <t>27 Juli 2026</t>
  </si>
  <si>
    <t>28 Juli 2026</t>
  </si>
  <si>
    <t>29 Juli 2026</t>
  </si>
  <si>
    <t>30 Juli 2026</t>
  </si>
  <si>
    <t>BULAN AGUSTUS</t>
  </si>
  <si>
    <t>31 Juli 2026</t>
  </si>
  <si>
    <t>1 Agustus 2026</t>
  </si>
  <si>
    <t>2 Agustus 2026</t>
  </si>
  <si>
    <t>3 Agustus 2026</t>
  </si>
  <si>
    <t>4 Agustus 2026</t>
  </si>
  <si>
    <t>5 Agustus 2026</t>
  </si>
  <si>
    <t>6 Agustus 2026</t>
  </si>
  <si>
    <t>7 Agustus 2026</t>
  </si>
  <si>
    <t>8 Agustus 2026</t>
  </si>
  <si>
    <t>9 Agustus 2026</t>
  </si>
  <si>
    <t>10 Agustus 2026</t>
  </si>
  <si>
    <t>11 Agustus 2026</t>
  </si>
  <si>
    <t>12 Agustus 2026</t>
  </si>
  <si>
    <t>13 Agustus 2026</t>
  </si>
  <si>
    <t>14 Agustus 2026</t>
  </si>
  <si>
    <t>15 Agustus 2026</t>
  </si>
  <si>
    <t>16 Agustus 2026</t>
  </si>
  <si>
    <t>18 Agustus 2026</t>
  </si>
  <si>
    <t>Meteran Baru</t>
  </si>
  <si>
    <t>19 Agustus 2026</t>
  </si>
  <si>
    <t>20 Agustus 2026</t>
  </si>
  <si>
    <t>21 Agustus 2026</t>
  </si>
  <si>
    <t>22 Agustus 2026</t>
  </si>
  <si>
    <t>23 Agustus 2026</t>
  </si>
  <si>
    <t>Ganti meteran baru</t>
  </si>
  <si>
    <t>REKAPAN METERAN 1 SMTI PONTIANAK</t>
  </si>
  <si>
    <t>REKAPAN METERAN 2 SMTI PONTIANAK</t>
  </si>
  <si>
    <t>13 Juli 2026</t>
  </si>
  <si>
    <t>24 Agustus 2026</t>
  </si>
  <si>
    <t>GRAFIK METERAN 1 BULAN JULI</t>
  </si>
  <si>
    <t>Selisihnya (Pemakaian pada tanggal tersebut)</t>
  </si>
  <si>
    <t>Meteran Lama</t>
  </si>
  <si>
    <t xml:space="preserve"> (PEMAKAIAN LISTRIK)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</si>
</sst>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 Nova Light"/>
      <family val="2"/>
    </font>
    <font>
      <b/>
      <sz val="14"/>
      <color theme="1"/>
      <name val="Arial Nova Light"/>
      <family val="2"/>
    </font>
    <font>
      <b/>
      <sz val="16"/>
      <color theme="1"/>
      <name val="Arial Nova Light"/>
      <family val="2"/>
    </font>
    <font>
      <b/>
      <sz val="16"/>
      <color theme="1"/>
      <name val="Arial Nova Light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250697962117791E-2"/>
          <c:y val="4.4879640962872294E-2"/>
          <c:w val="0.91607402577862485"/>
          <c:h val="0.7761183768797566"/>
        </c:manualLayout>
      </c:layou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>
                  <a:tint val="77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'JULI (METERAN 1)'!$B$4:$C$19</c:f>
              <c:multiLvlStrCache>
                <c:ptCount val="16"/>
                <c:lvl>
                  <c:pt idx="0">
                    <c:v>14 Juli 2026</c:v>
                  </c:pt>
                  <c:pt idx="1">
                    <c:v>15 Juli 2026</c:v>
                  </c:pt>
                  <c:pt idx="2">
                    <c:v>16 Juli 2026</c:v>
                  </c:pt>
                  <c:pt idx="3">
                    <c:v>17 Juli 2026</c:v>
                  </c:pt>
                  <c:pt idx="4">
                    <c:v>20 Juli 2026</c:v>
                  </c:pt>
                  <c:pt idx="5">
                    <c:v>21 Juli 2026</c:v>
                  </c:pt>
                  <c:pt idx="6">
                    <c:v>22 Juli 2026</c:v>
                  </c:pt>
                  <c:pt idx="7">
                    <c:v>23 Juli 2026</c:v>
                  </c:pt>
                  <c:pt idx="8">
                    <c:v>24 Juli 2026</c:v>
                  </c:pt>
                  <c:pt idx="9">
                    <c:v>25 Juli 2026</c:v>
                  </c:pt>
                  <c:pt idx="10">
                    <c:v>26 Juli 2026</c:v>
                  </c:pt>
                  <c:pt idx="11">
                    <c:v>27 Juli 2026</c:v>
                  </c:pt>
                  <c:pt idx="12">
                    <c:v>28 Juli 2026</c:v>
                  </c:pt>
                  <c:pt idx="13">
                    <c:v>29 Juli 2026</c:v>
                  </c:pt>
                  <c:pt idx="14">
                    <c:v>30 Juli 2026</c:v>
                  </c:pt>
                  <c:pt idx="15">
                    <c:v>31 Juli 2026</c:v>
                  </c:pt>
                </c:lvl>
                <c:lvl>
                  <c:pt idx="0">
                    <c:v>Selasa</c:v>
                  </c:pt>
                  <c:pt idx="1">
                    <c:v>Rabu</c:v>
                  </c:pt>
                  <c:pt idx="2">
                    <c:v>Kamis</c:v>
                  </c:pt>
                  <c:pt idx="3">
                    <c:v>Jum'at</c:v>
                  </c:pt>
                  <c:pt idx="4">
                    <c:v>Senin</c:v>
                  </c:pt>
                  <c:pt idx="5">
                    <c:v>Selasa</c:v>
                  </c:pt>
                  <c:pt idx="6">
                    <c:v>Rabu</c:v>
                  </c:pt>
                  <c:pt idx="7">
                    <c:v>Kamis</c:v>
                  </c:pt>
                  <c:pt idx="8">
                    <c:v>Jum'at</c:v>
                  </c:pt>
                  <c:pt idx="9">
                    <c:v>Sabtu</c:v>
                  </c:pt>
                  <c:pt idx="10">
                    <c:v>Minggu</c:v>
                  </c:pt>
                  <c:pt idx="11">
                    <c:v>Senin</c:v>
                  </c:pt>
                  <c:pt idx="12">
                    <c:v>Selasa</c:v>
                  </c:pt>
                  <c:pt idx="13">
                    <c:v>Rabu</c:v>
                  </c:pt>
                  <c:pt idx="14">
                    <c:v>Kamis</c:v>
                  </c:pt>
                  <c:pt idx="15">
                    <c:v>Jum'at</c:v>
                  </c:pt>
                </c:lvl>
              </c:multiLvlStrCache>
            </c:multiLvlStrRef>
          </c:cat>
          <c:val>
            <c:numRef>
              <c:f>'JULI (METERAN 1)'!$E$4:$E$19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414-4899-A629-CCF9C38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71872"/>
        <c:axId val="205073792"/>
      </c:line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>
                  <a:shade val="76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6">
                  <a:shade val="76000"/>
                </a:schemeClr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'JULI (METERAN 1)'!$B$4:$C$19</c:f>
              <c:multiLvlStrCache>
                <c:ptCount val="16"/>
                <c:lvl>
                  <c:pt idx="0">
                    <c:v>14 Juli 2026</c:v>
                  </c:pt>
                  <c:pt idx="1">
                    <c:v>15 Juli 2026</c:v>
                  </c:pt>
                  <c:pt idx="2">
                    <c:v>16 Juli 2026</c:v>
                  </c:pt>
                  <c:pt idx="3">
                    <c:v>17 Juli 2026</c:v>
                  </c:pt>
                  <c:pt idx="4">
                    <c:v>20 Juli 2026</c:v>
                  </c:pt>
                  <c:pt idx="5">
                    <c:v>21 Juli 2026</c:v>
                  </c:pt>
                  <c:pt idx="6">
                    <c:v>22 Juli 2026</c:v>
                  </c:pt>
                  <c:pt idx="7">
                    <c:v>23 Juli 2026</c:v>
                  </c:pt>
                  <c:pt idx="8">
                    <c:v>24 Juli 2026</c:v>
                  </c:pt>
                  <c:pt idx="9">
                    <c:v>25 Juli 2026</c:v>
                  </c:pt>
                  <c:pt idx="10">
                    <c:v>26 Juli 2026</c:v>
                  </c:pt>
                  <c:pt idx="11">
                    <c:v>27 Juli 2026</c:v>
                  </c:pt>
                  <c:pt idx="12">
                    <c:v>28 Juli 2026</c:v>
                  </c:pt>
                  <c:pt idx="13">
                    <c:v>29 Juli 2026</c:v>
                  </c:pt>
                  <c:pt idx="14">
                    <c:v>30 Juli 2026</c:v>
                  </c:pt>
                  <c:pt idx="15">
                    <c:v>31 Juli 2026</c:v>
                  </c:pt>
                </c:lvl>
                <c:lvl>
                  <c:pt idx="0">
                    <c:v>Selasa</c:v>
                  </c:pt>
                  <c:pt idx="1">
                    <c:v>Rabu</c:v>
                  </c:pt>
                  <c:pt idx="2">
                    <c:v>Kamis</c:v>
                  </c:pt>
                  <c:pt idx="3">
                    <c:v>Jum'at</c:v>
                  </c:pt>
                  <c:pt idx="4">
                    <c:v>Senin</c:v>
                  </c:pt>
                  <c:pt idx="5">
                    <c:v>Selasa</c:v>
                  </c:pt>
                  <c:pt idx="6">
                    <c:v>Rabu</c:v>
                  </c:pt>
                  <c:pt idx="7">
                    <c:v>Kamis</c:v>
                  </c:pt>
                  <c:pt idx="8">
                    <c:v>Jum'at</c:v>
                  </c:pt>
                  <c:pt idx="9">
                    <c:v>Sabtu</c:v>
                  </c:pt>
                  <c:pt idx="10">
                    <c:v>Minggu</c:v>
                  </c:pt>
                  <c:pt idx="11">
                    <c:v>Senin</c:v>
                  </c:pt>
                  <c:pt idx="12">
                    <c:v>Selasa</c:v>
                  </c:pt>
                  <c:pt idx="13">
                    <c:v>Rabu</c:v>
                  </c:pt>
                  <c:pt idx="14">
                    <c:v>Kamis</c:v>
                  </c:pt>
                  <c:pt idx="15">
                    <c:v>Jum'at</c:v>
                  </c:pt>
                </c:lvl>
              </c:multiLvlStrCache>
            </c:multiLvlStrRef>
          </c:cat>
          <c:val>
            <c:numRef>
              <c:f>'JULI (METERAN 1)'!$D$4:$D$19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414-4899-A629-CCF9C385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77120"/>
        <c:axId val="205075584"/>
      </c:lineChart>
      <c:catAx>
        <c:axId val="20507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100" baseline="0">
                <a:solidFill>
                  <a:schemeClr val="lt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5073792"/>
        <c:crosses val="autoZero"/>
        <c:auto val="1"/>
        <c:lblAlgn val="ctr"/>
        <c:lblOffset val="100"/>
        <c:noMultiLvlLbl val="0"/>
      </c:catAx>
      <c:valAx>
        <c:axId val="20507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5071872"/>
        <c:crosses val="autoZero"/>
        <c:crossBetween val="between"/>
      </c:valAx>
      <c:valAx>
        <c:axId val="205075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5077120"/>
        <c:crosses val="max"/>
        <c:crossBetween val="between"/>
      </c:valAx>
      <c:catAx>
        <c:axId val="205077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075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163188976377953"/>
          <c:y val="0.14814814814814814"/>
        </c:manualLayout>
      </c:layout>
      <c:overlay val="0"/>
      <c:spPr>
        <a:solidFill>
          <a:schemeClr val="accent6">
            <a:lumMod val="60000"/>
            <a:lumOff val="40000"/>
          </a:schemeClr>
        </a:solidFill>
      </c:spPr>
    </c:title>
    <c:autoTitleDeleted val="0"/>
    <c:plotArea>
      <c:layout>
        <c:manualLayout>
          <c:layoutTarget val="inner"/>
          <c:xMode val="edge"/>
          <c:yMode val="edge"/>
          <c:x val="3.7034555298423602E-2"/>
          <c:y val="0.13169815040725544"/>
          <c:w val="0.93351708250373189"/>
          <c:h val="0.59501534139218515"/>
        </c:manualLayout>
      </c:layout>
      <c:lineChart>
        <c:grouping val="standard"/>
        <c:varyColors val="0"/>
        <c:ser>
          <c:idx val="0"/>
          <c:order val="0"/>
          <c:tx>
            <c:strRef>
              <c:f>'JULI (METERAN 1)'!$D$3</c:f>
              <c:strCache>
                <c:ptCount val="1"/>
                <c:pt idx="0">
                  <c:v>METERAN 1 (KWH 05) Jam 08.00 WIB</c:v>
                </c:pt>
              </c:strCache>
            </c:strRef>
          </c:tx>
          <c:cat>
            <c:multiLvlStrRef>
              <c:f>'JULI (METERAN 1)'!$A$4:$C$19</c:f>
              <c:multiLvlStrCache>
                <c:ptCount val="16"/>
                <c:lvl>
                  <c:pt idx="0">
                    <c:v>14 Juli 2026</c:v>
                  </c:pt>
                  <c:pt idx="1">
                    <c:v>15 Juli 2026</c:v>
                  </c:pt>
                  <c:pt idx="2">
                    <c:v>16 Juli 2026</c:v>
                  </c:pt>
                  <c:pt idx="3">
                    <c:v>17 Juli 2026</c:v>
                  </c:pt>
                  <c:pt idx="4">
                    <c:v>20 Juli 2026</c:v>
                  </c:pt>
                  <c:pt idx="5">
                    <c:v>21 Juli 2026</c:v>
                  </c:pt>
                  <c:pt idx="6">
                    <c:v>22 Juli 2026</c:v>
                  </c:pt>
                  <c:pt idx="7">
                    <c:v>23 Juli 2026</c:v>
                  </c:pt>
                  <c:pt idx="8">
                    <c:v>24 Juli 2026</c:v>
                  </c:pt>
                  <c:pt idx="9">
                    <c:v>25 Juli 2026</c:v>
                  </c:pt>
                  <c:pt idx="10">
                    <c:v>26 Juli 2026</c:v>
                  </c:pt>
                  <c:pt idx="11">
                    <c:v>27 Juli 2026</c:v>
                  </c:pt>
                  <c:pt idx="12">
                    <c:v>28 Juli 2026</c:v>
                  </c:pt>
                  <c:pt idx="13">
                    <c:v>29 Juli 2026</c:v>
                  </c:pt>
                  <c:pt idx="14">
                    <c:v>30 Juli 2026</c:v>
                  </c:pt>
                  <c:pt idx="15">
                    <c:v>31 Juli 2026</c:v>
                  </c:pt>
                </c:lvl>
                <c:lvl>
                  <c:pt idx="0">
                    <c:v>Selasa</c:v>
                  </c:pt>
                  <c:pt idx="1">
                    <c:v>Rabu</c:v>
                  </c:pt>
                  <c:pt idx="2">
                    <c:v>Kamis</c:v>
                  </c:pt>
                  <c:pt idx="3">
                    <c:v>Jum'at</c:v>
                  </c:pt>
                  <c:pt idx="4">
                    <c:v>Senin</c:v>
                  </c:pt>
                  <c:pt idx="5">
                    <c:v>Selasa</c:v>
                  </c:pt>
                  <c:pt idx="6">
                    <c:v>Rabu</c:v>
                  </c:pt>
                  <c:pt idx="7">
                    <c:v>Kamis</c:v>
                  </c:pt>
                  <c:pt idx="8">
                    <c:v>Jum'at</c:v>
                  </c:pt>
                  <c:pt idx="9">
                    <c:v>Sabtu</c:v>
                  </c:pt>
                  <c:pt idx="10">
                    <c:v>Minggu</c:v>
                  </c:pt>
                  <c:pt idx="11">
                    <c:v>Senin</c:v>
                  </c:pt>
                  <c:pt idx="12">
                    <c:v>Selasa</c:v>
                  </c:pt>
                  <c:pt idx="13">
                    <c:v>Rabu</c:v>
                  </c:pt>
                  <c:pt idx="14">
                    <c:v>Kamis</c:v>
                  </c:pt>
                  <c:pt idx="15">
                    <c:v>Jum'at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'JULI (METERAN 1)'!$D$4:$D$19</c:f>
            </c:numRef>
          </c:val>
          <c:smooth val="0"/>
        </c:ser>
        <c:ser>
          <c:idx val="1"/>
          <c:order val="1"/>
          <c:tx>
            <c:strRef>
              <c:f>'JULI (METERAN 1)'!$E$3</c:f>
              <c:strCache>
                <c:ptCount val="1"/>
                <c:pt idx="0">
                  <c:v>METERAN 1 (KWH 05) Jam 16.00 WIB</c:v>
                </c:pt>
              </c:strCache>
            </c:strRef>
          </c:tx>
          <c:cat>
            <c:multiLvlStrRef>
              <c:f>'JULI (METERAN 1)'!$A$4:$C$19</c:f>
              <c:multiLvlStrCache>
                <c:ptCount val="16"/>
                <c:lvl>
                  <c:pt idx="0">
                    <c:v>14 Juli 2026</c:v>
                  </c:pt>
                  <c:pt idx="1">
                    <c:v>15 Juli 2026</c:v>
                  </c:pt>
                  <c:pt idx="2">
                    <c:v>16 Juli 2026</c:v>
                  </c:pt>
                  <c:pt idx="3">
                    <c:v>17 Juli 2026</c:v>
                  </c:pt>
                  <c:pt idx="4">
                    <c:v>20 Juli 2026</c:v>
                  </c:pt>
                  <c:pt idx="5">
                    <c:v>21 Juli 2026</c:v>
                  </c:pt>
                  <c:pt idx="6">
                    <c:v>22 Juli 2026</c:v>
                  </c:pt>
                  <c:pt idx="7">
                    <c:v>23 Juli 2026</c:v>
                  </c:pt>
                  <c:pt idx="8">
                    <c:v>24 Juli 2026</c:v>
                  </c:pt>
                  <c:pt idx="9">
                    <c:v>25 Juli 2026</c:v>
                  </c:pt>
                  <c:pt idx="10">
                    <c:v>26 Juli 2026</c:v>
                  </c:pt>
                  <c:pt idx="11">
                    <c:v>27 Juli 2026</c:v>
                  </c:pt>
                  <c:pt idx="12">
                    <c:v>28 Juli 2026</c:v>
                  </c:pt>
                  <c:pt idx="13">
                    <c:v>29 Juli 2026</c:v>
                  </c:pt>
                  <c:pt idx="14">
                    <c:v>30 Juli 2026</c:v>
                  </c:pt>
                  <c:pt idx="15">
                    <c:v>31 Juli 2026</c:v>
                  </c:pt>
                </c:lvl>
                <c:lvl>
                  <c:pt idx="0">
                    <c:v>Selasa</c:v>
                  </c:pt>
                  <c:pt idx="1">
                    <c:v>Rabu</c:v>
                  </c:pt>
                  <c:pt idx="2">
                    <c:v>Kamis</c:v>
                  </c:pt>
                  <c:pt idx="3">
                    <c:v>Jum'at</c:v>
                  </c:pt>
                  <c:pt idx="4">
                    <c:v>Senin</c:v>
                  </c:pt>
                  <c:pt idx="5">
                    <c:v>Selasa</c:v>
                  </c:pt>
                  <c:pt idx="6">
                    <c:v>Rabu</c:v>
                  </c:pt>
                  <c:pt idx="7">
                    <c:v>Kamis</c:v>
                  </c:pt>
                  <c:pt idx="8">
                    <c:v>Jum'at</c:v>
                  </c:pt>
                  <c:pt idx="9">
                    <c:v>Sabtu</c:v>
                  </c:pt>
                  <c:pt idx="10">
                    <c:v>Minggu</c:v>
                  </c:pt>
                  <c:pt idx="11">
                    <c:v>Senin</c:v>
                  </c:pt>
                  <c:pt idx="12">
                    <c:v>Selasa</c:v>
                  </c:pt>
                  <c:pt idx="13">
                    <c:v>Rabu</c:v>
                  </c:pt>
                  <c:pt idx="14">
                    <c:v>Kamis</c:v>
                  </c:pt>
                  <c:pt idx="15">
                    <c:v>Jum'at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'JULI (METERAN 1)'!$E$4:$E$19</c:f>
            </c:numRef>
          </c:val>
          <c:smooth val="0"/>
        </c:ser>
        <c:ser>
          <c:idx val="2"/>
          <c:order val="2"/>
          <c:tx>
            <c:strRef>
              <c:f>'JULI (METERAN 1)'!$F$3</c:f>
              <c:strCache>
                <c:ptCount val="1"/>
                <c:pt idx="0">
                  <c:v> (PEMAKAIAN LISTRIK)</c:v>
                </c:pt>
              </c:strCache>
            </c:strRef>
          </c:tx>
          <c:marker>
            <c:symbol val="none"/>
          </c:marker>
          <c:cat>
            <c:multiLvlStrRef>
              <c:f>'JULI (METERAN 1)'!$A$4:$C$19</c:f>
              <c:multiLvlStrCache>
                <c:ptCount val="16"/>
                <c:lvl>
                  <c:pt idx="0">
                    <c:v>14 Juli 2026</c:v>
                  </c:pt>
                  <c:pt idx="1">
                    <c:v>15 Juli 2026</c:v>
                  </c:pt>
                  <c:pt idx="2">
                    <c:v>16 Juli 2026</c:v>
                  </c:pt>
                  <c:pt idx="3">
                    <c:v>17 Juli 2026</c:v>
                  </c:pt>
                  <c:pt idx="4">
                    <c:v>20 Juli 2026</c:v>
                  </c:pt>
                  <c:pt idx="5">
                    <c:v>21 Juli 2026</c:v>
                  </c:pt>
                  <c:pt idx="6">
                    <c:v>22 Juli 2026</c:v>
                  </c:pt>
                  <c:pt idx="7">
                    <c:v>23 Juli 2026</c:v>
                  </c:pt>
                  <c:pt idx="8">
                    <c:v>24 Juli 2026</c:v>
                  </c:pt>
                  <c:pt idx="9">
                    <c:v>25 Juli 2026</c:v>
                  </c:pt>
                  <c:pt idx="10">
                    <c:v>26 Juli 2026</c:v>
                  </c:pt>
                  <c:pt idx="11">
                    <c:v>27 Juli 2026</c:v>
                  </c:pt>
                  <c:pt idx="12">
                    <c:v>28 Juli 2026</c:v>
                  </c:pt>
                  <c:pt idx="13">
                    <c:v>29 Juli 2026</c:v>
                  </c:pt>
                  <c:pt idx="14">
                    <c:v>30 Juli 2026</c:v>
                  </c:pt>
                  <c:pt idx="15">
                    <c:v>31 Juli 2026</c:v>
                  </c:pt>
                </c:lvl>
                <c:lvl>
                  <c:pt idx="0">
                    <c:v>Selasa</c:v>
                  </c:pt>
                  <c:pt idx="1">
                    <c:v>Rabu</c:v>
                  </c:pt>
                  <c:pt idx="2">
                    <c:v>Kamis</c:v>
                  </c:pt>
                  <c:pt idx="3">
                    <c:v>Jum'at</c:v>
                  </c:pt>
                  <c:pt idx="4">
                    <c:v>Senin</c:v>
                  </c:pt>
                  <c:pt idx="5">
                    <c:v>Selasa</c:v>
                  </c:pt>
                  <c:pt idx="6">
                    <c:v>Rabu</c:v>
                  </c:pt>
                  <c:pt idx="7">
                    <c:v>Kamis</c:v>
                  </c:pt>
                  <c:pt idx="8">
                    <c:v>Jum'at</c:v>
                  </c:pt>
                  <c:pt idx="9">
                    <c:v>Sabtu</c:v>
                  </c:pt>
                  <c:pt idx="10">
                    <c:v>Minggu</c:v>
                  </c:pt>
                  <c:pt idx="11">
                    <c:v>Senin</c:v>
                  </c:pt>
                  <c:pt idx="12">
                    <c:v>Selasa</c:v>
                  </c:pt>
                  <c:pt idx="13">
                    <c:v>Rabu</c:v>
                  </c:pt>
                  <c:pt idx="14">
                    <c:v>Kamis</c:v>
                  </c:pt>
                  <c:pt idx="15">
                    <c:v>Jum'at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'JULI (METERAN 1)'!$F$4:$F$19</c:f>
              <c:numCache>
                <c:formatCode>General</c:formatCode>
                <c:ptCount val="16"/>
                <c:pt idx="0">
                  <c:v>2.3600000000000136</c:v>
                </c:pt>
                <c:pt idx="1">
                  <c:v>2.8300000000000409</c:v>
                </c:pt>
                <c:pt idx="2">
                  <c:v>2.3700000000000045</c:v>
                </c:pt>
                <c:pt idx="3">
                  <c:v>1.0499999999999545</c:v>
                </c:pt>
                <c:pt idx="4">
                  <c:v>3.1700000000000728</c:v>
                </c:pt>
                <c:pt idx="5">
                  <c:v>2.4700000000000273</c:v>
                </c:pt>
                <c:pt idx="6">
                  <c:v>5.4400000000000546</c:v>
                </c:pt>
                <c:pt idx="7">
                  <c:v>5.3899999999999864</c:v>
                </c:pt>
                <c:pt idx="8">
                  <c:v>4.9600000000000364</c:v>
                </c:pt>
                <c:pt idx="9">
                  <c:v>4.5599999999999454</c:v>
                </c:pt>
                <c:pt idx="10">
                  <c:v>0.44000000000005457</c:v>
                </c:pt>
                <c:pt idx="11">
                  <c:v>4.8799999999999955</c:v>
                </c:pt>
                <c:pt idx="12">
                  <c:v>5.0499999999999545</c:v>
                </c:pt>
                <c:pt idx="13">
                  <c:v>5.5900000000000318</c:v>
                </c:pt>
                <c:pt idx="14">
                  <c:v>5.7200000000000273</c:v>
                </c:pt>
                <c:pt idx="15">
                  <c:v>5.2899999999999636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01696"/>
        <c:axId val="205103488"/>
      </c:lineChart>
      <c:catAx>
        <c:axId val="205101696"/>
        <c:scaling>
          <c:orientation val="minMax"/>
        </c:scaling>
        <c:delete val="0"/>
        <c:axPos val="b"/>
        <c:majorTickMark val="out"/>
        <c:minorTickMark val="none"/>
        <c:tickLblPos val="nextTo"/>
        <c:crossAx val="205103488"/>
        <c:crosses val="autoZero"/>
        <c:auto val="1"/>
        <c:lblAlgn val="ctr"/>
        <c:lblOffset val="100"/>
        <c:noMultiLvlLbl val="0"/>
      </c:catAx>
      <c:valAx>
        <c:axId val="20510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101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 Light" panose="020B0304020202020204" pitchFamily="34" charset="0"/>
                <a:ea typeface="+mn-ea"/>
                <a:cs typeface="+mn-cs"/>
              </a:defRPr>
            </a:pPr>
            <a:r>
              <a:rPr lang="en-US"/>
              <a:t>METERAN 2 BULAN JULI</a:t>
            </a:r>
          </a:p>
        </c:rich>
      </c:tx>
      <c:layout>
        <c:manualLayout>
          <c:xMode val="edge"/>
          <c:yMode val="edge"/>
          <c:x val="0.44189900867410165"/>
          <c:y val="2.22222222222222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effectLst/>
          </c:spPr>
          <c:cat>
            <c:multiLvlStrRef>
              <c:f>'JULI (METERAN 2)'!$B$4:$C$18</c:f>
              <c:multiLvlStrCache>
                <c:ptCount val="15"/>
                <c:lvl>
                  <c:pt idx="0">
                    <c:v>13 Juli 2026</c:v>
                  </c:pt>
                  <c:pt idx="1">
                    <c:v>14 Juli 2026</c:v>
                  </c:pt>
                  <c:pt idx="2">
                    <c:v>15 Juli 2026</c:v>
                  </c:pt>
                  <c:pt idx="3">
                    <c:v>16 Juli 2026</c:v>
                  </c:pt>
                  <c:pt idx="4">
                    <c:v>17 Juli 2026</c:v>
                  </c:pt>
                  <c:pt idx="5">
                    <c:v>20 Juli 2026</c:v>
                  </c:pt>
                  <c:pt idx="6">
                    <c:v>21 Juli 2026</c:v>
                  </c:pt>
                  <c:pt idx="7">
                    <c:v>22 Juli 2026</c:v>
                  </c:pt>
                  <c:pt idx="8">
                    <c:v>23 Juli 2026</c:v>
                  </c:pt>
                  <c:pt idx="9">
                    <c:v>24 Juli 2026</c:v>
                  </c:pt>
                  <c:pt idx="10">
                    <c:v>27 Juli 2026</c:v>
                  </c:pt>
                  <c:pt idx="11">
                    <c:v>28 Juli 2026</c:v>
                  </c:pt>
                  <c:pt idx="12">
                    <c:v>29 Juli 2026</c:v>
                  </c:pt>
                  <c:pt idx="13">
                    <c:v>30 Juli 2026</c:v>
                  </c:pt>
                  <c:pt idx="14">
                    <c:v>31 Juli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Senin</c:v>
                  </c:pt>
                  <c:pt idx="11">
                    <c:v>Selasa</c:v>
                  </c:pt>
                  <c:pt idx="12">
                    <c:v>Rabu</c:v>
                  </c:pt>
                  <c:pt idx="13">
                    <c:v>Kamis</c:v>
                  </c:pt>
                  <c:pt idx="14">
                    <c:v>Jum'at</c:v>
                  </c:pt>
                </c:lvl>
              </c:multiLvlStrCache>
            </c:multiLvlStrRef>
          </c:cat>
          <c:val>
            <c:numRef>
              <c:f>'JULI (METERAN 2)'!$D$4:$D$18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4AA-4F90-89E9-15ECC0F084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cat>
            <c:multiLvlStrRef>
              <c:f>'JULI (METERAN 2)'!$B$4:$C$18</c:f>
              <c:multiLvlStrCache>
                <c:ptCount val="15"/>
                <c:lvl>
                  <c:pt idx="0">
                    <c:v>13 Juli 2026</c:v>
                  </c:pt>
                  <c:pt idx="1">
                    <c:v>14 Juli 2026</c:v>
                  </c:pt>
                  <c:pt idx="2">
                    <c:v>15 Juli 2026</c:v>
                  </c:pt>
                  <c:pt idx="3">
                    <c:v>16 Juli 2026</c:v>
                  </c:pt>
                  <c:pt idx="4">
                    <c:v>17 Juli 2026</c:v>
                  </c:pt>
                  <c:pt idx="5">
                    <c:v>20 Juli 2026</c:v>
                  </c:pt>
                  <c:pt idx="6">
                    <c:v>21 Juli 2026</c:v>
                  </c:pt>
                  <c:pt idx="7">
                    <c:v>22 Juli 2026</c:v>
                  </c:pt>
                  <c:pt idx="8">
                    <c:v>23 Juli 2026</c:v>
                  </c:pt>
                  <c:pt idx="9">
                    <c:v>24 Juli 2026</c:v>
                  </c:pt>
                  <c:pt idx="10">
                    <c:v>27 Juli 2026</c:v>
                  </c:pt>
                  <c:pt idx="11">
                    <c:v>28 Juli 2026</c:v>
                  </c:pt>
                  <c:pt idx="12">
                    <c:v>29 Juli 2026</c:v>
                  </c:pt>
                  <c:pt idx="13">
                    <c:v>30 Juli 2026</c:v>
                  </c:pt>
                  <c:pt idx="14">
                    <c:v>31 Juli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Senin</c:v>
                  </c:pt>
                  <c:pt idx="11">
                    <c:v>Selasa</c:v>
                  </c:pt>
                  <c:pt idx="12">
                    <c:v>Rabu</c:v>
                  </c:pt>
                  <c:pt idx="13">
                    <c:v>Kamis</c:v>
                  </c:pt>
                  <c:pt idx="14">
                    <c:v>Jum'at</c:v>
                  </c:pt>
                </c:lvl>
              </c:multiLvlStrCache>
            </c:multiLvlStrRef>
          </c:cat>
          <c:val>
            <c:numRef>
              <c:f>'JULI (METERAN 2)'!$E$4:$E$18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4AA-4F90-89E9-15ECC0F08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52800"/>
        <c:axId val="203858688"/>
      </c:lineChart>
      <c:catAx>
        <c:axId val="2038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 Light" panose="020B0304020202020204" pitchFamily="34" charset="0"/>
                <a:ea typeface="+mn-ea"/>
                <a:cs typeface="+mn-cs"/>
              </a:defRPr>
            </a:pPr>
            <a:endParaRPr lang="id-ID"/>
          </a:p>
        </c:txPr>
        <c:crossAx val="203858688"/>
        <c:crosses val="autoZero"/>
        <c:auto val="1"/>
        <c:lblAlgn val="ctr"/>
        <c:lblOffset val="100"/>
        <c:noMultiLvlLbl val="0"/>
      </c:catAx>
      <c:valAx>
        <c:axId val="2038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 Light" panose="020B0304020202020204" pitchFamily="34" charset="0"/>
                <a:ea typeface="+mn-ea"/>
                <a:cs typeface="+mn-cs"/>
              </a:defRPr>
            </a:pPr>
            <a:endParaRPr lang="id-ID"/>
          </a:p>
        </c:txPr>
        <c:crossAx val="2038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 Light" panose="020B0304020202020204" pitchFamily="34" charset="0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 i="0" baseline="0">
          <a:latin typeface="Arial Nova Light" panose="020B0304020202020204" pitchFamily="34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'JULI (METERAN 2)'!$D$3</c:f>
              <c:strCache>
                <c:ptCount val="1"/>
                <c:pt idx="0">
                  <c:v>METERAN 1 (KWH 05) Jam 08.00 WIB</c:v>
                </c:pt>
              </c:strCache>
            </c:strRef>
          </c:tx>
          <c:cat>
            <c:multiLvlStrRef>
              <c:f>'JULI (METERAN 2)'!$A$4:$C$18</c:f>
              <c:multiLvlStrCache>
                <c:ptCount val="15"/>
                <c:lvl>
                  <c:pt idx="0">
                    <c:v>13 Juli 2026</c:v>
                  </c:pt>
                  <c:pt idx="1">
                    <c:v>14 Juli 2026</c:v>
                  </c:pt>
                  <c:pt idx="2">
                    <c:v>15 Juli 2026</c:v>
                  </c:pt>
                  <c:pt idx="3">
                    <c:v>16 Juli 2026</c:v>
                  </c:pt>
                  <c:pt idx="4">
                    <c:v>17 Juli 2026</c:v>
                  </c:pt>
                  <c:pt idx="5">
                    <c:v>20 Juli 2026</c:v>
                  </c:pt>
                  <c:pt idx="6">
                    <c:v>21 Juli 2026</c:v>
                  </c:pt>
                  <c:pt idx="7">
                    <c:v>22 Juli 2026</c:v>
                  </c:pt>
                  <c:pt idx="8">
                    <c:v>23 Juli 2026</c:v>
                  </c:pt>
                  <c:pt idx="9">
                    <c:v>24 Juli 2026</c:v>
                  </c:pt>
                  <c:pt idx="10">
                    <c:v>27 Juli 2026</c:v>
                  </c:pt>
                  <c:pt idx="11">
                    <c:v>28 Juli 2026</c:v>
                  </c:pt>
                  <c:pt idx="12">
                    <c:v>29 Juli 2026</c:v>
                  </c:pt>
                  <c:pt idx="13">
                    <c:v>30 Juli 2026</c:v>
                  </c:pt>
                  <c:pt idx="14">
                    <c:v>31 Juli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Senin</c:v>
                  </c:pt>
                  <c:pt idx="11">
                    <c:v>Selasa</c:v>
                  </c:pt>
                  <c:pt idx="12">
                    <c:v>Rabu</c:v>
                  </c:pt>
                  <c:pt idx="13">
                    <c:v>Kamis</c:v>
                  </c:pt>
                  <c:pt idx="14">
                    <c:v>Jum'at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'JULI (METERAN 2)'!$D$4:$D$18</c:f>
            </c:numRef>
          </c:val>
          <c:smooth val="0"/>
        </c:ser>
        <c:ser>
          <c:idx val="1"/>
          <c:order val="1"/>
          <c:tx>
            <c:strRef>
              <c:f>'JULI (METERAN 2)'!$E$3</c:f>
              <c:strCache>
                <c:ptCount val="1"/>
                <c:pt idx="0">
                  <c:v>METERAN 1 (KWH 05) Jam 16.00 WIB</c:v>
                </c:pt>
              </c:strCache>
            </c:strRef>
          </c:tx>
          <c:cat>
            <c:multiLvlStrRef>
              <c:f>'JULI (METERAN 2)'!$A$4:$C$18</c:f>
              <c:multiLvlStrCache>
                <c:ptCount val="15"/>
                <c:lvl>
                  <c:pt idx="0">
                    <c:v>13 Juli 2026</c:v>
                  </c:pt>
                  <c:pt idx="1">
                    <c:v>14 Juli 2026</c:v>
                  </c:pt>
                  <c:pt idx="2">
                    <c:v>15 Juli 2026</c:v>
                  </c:pt>
                  <c:pt idx="3">
                    <c:v>16 Juli 2026</c:v>
                  </c:pt>
                  <c:pt idx="4">
                    <c:v>17 Juli 2026</c:v>
                  </c:pt>
                  <c:pt idx="5">
                    <c:v>20 Juli 2026</c:v>
                  </c:pt>
                  <c:pt idx="6">
                    <c:v>21 Juli 2026</c:v>
                  </c:pt>
                  <c:pt idx="7">
                    <c:v>22 Juli 2026</c:v>
                  </c:pt>
                  <c:pt idx="8">
                    <c:v>23 Juli 2026</c:v>
                  </c:pt>
                  <c:pt idx="9">
                    <c:v>24 Juli 2026</c:v>
                  </c:pt>
                  <c:pt idx="10">
                    <c:v>27 Juli 2026</c:v>
                  </c:pt>
                  <c:pt idx="11">
                    <c:v>28 Juli 2026</c:v>
                  </c:pt>
                  <c:pt idx="12">
                    <c:v>29 Juli 2026</c:v>
                  </c:pt>
                  <c:pt idx="13">
                    <c:v>30 Juli 2026</c:v>
                  </c:pt>
                  <c:pt idx="14">
                    <c:v>31 Juli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Senin</c:v>
                  </c:pt>
                  <c:pt idx="11">
                    <c:v>Selasa</c:v>
                  </c:pt>
                  <c:pt idx="12">
                    <c:v>Rabu</c:v>
                  </c:pt>
                  <c:pt idx="13">
                    <c:v>Kamis</c:v>
                  </c:pt>
                  <c:pt idx="14">
                    <c:v>Jum'at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'JULI (METERAN 2)'!$E$4:$E$18</c:f>
            </c:numRef>
          </c:val>
          <c:smooth val="0"/>
        </c:ser>
        <c:ser>
          <c:idx val="2"/>
          <c:order val="2"/>
          <c:tx>
            <c:strRef>
              <c:f>'JULI (METERAN 2)'!$F$3</c:f>
              <c:strCache>
                <c:ptCount val="1"/>
                <c:pt idx="0">
                  <c:v> (PEMAKAIAN LISTRIK)</c:v>
                </c:pt>
              </c:strCache>
            </c:strRef>
          </c:tx>
          <c:marker>
            <c:symbol val="none"/>
          </c:marker>
          <c:cat>
            <c:multiLvlStrRef>
              <c:f>'JULI (METERAN 2)'!$A$4:$C$18</c:f>
              <c:multiLvlStrCache>
                <c:ptCount val="15"/>
                <c:lvl>
                  <c:pt idx="0">
                    <c:v>13 Juli 2026</c:v>
                  </c:pt>
                  <c:pt idx="1">
                    <c:v>14 Juli 2026</c:v>
                  </c:pt>
                  <c:pt idx="2">
                    <c:v>15 Juli 2026</c:v>
                  </c:pt>
                  <c:pt idx="3">
                    <c:v>16 Juli 2026</c:v>
                  </c:pt>
                  <c:pt idx="4">
                    <c:v>17 Juli 2026</c:v>
                  </c:pt>
                  <c:pt idx="5">
                    <c:v>20 Juli 2026</c:v>
                  </c:pt>
                  <c:pt idx="6">
                    <c:v>21 Juli 2026</c:v>
                  </c:pt>
                  <c:pt idx="7">
                    <c:v>22 Juli 2026</c:v>
                  </c:pt>
                  <c:pt idx="8">
                    <c:v>23 Juli 2026</c:v>
                  </c:pt>
                  <c:pt idx="9">
                    <c:v>24 Juli 2026</c:v>
                  </c:pt>
                  <c:pt idx="10">
                    <c:v>27 Juli 2026</c:v>
                  </c:pt>
                  <c:pt idx="11">
                    <c:v>28 Juli 2026</c:v>
                  </c:pt>
                  <c:pt idx="12">
                    <c:v>29 Juli 2026</c:v>
                  </c:pt>
                  <c:pt idx="13">
                    <c:v>30 Juli 2026</c:v>
                  </c:pt>
                  <c:pt idx="14">
                    <c:v>31 Juli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Senin</c:v>
                  </c:pt>
                  <c:pt idx="11">
                    <c:v>Selasa</c:v>
                  </c:pt>
                  <c:pt idx="12">
                    <c:v>Rabu</c:v>
                  </c:pt>
                  <c:pt idx="13">
                    <c:v>Kamis</c:v>
                  </c:pt>
                  <c:pt idx="14">
                    <c:v>Jum'at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'JULI (METERAN 2)'!$F$4:$F$18</c:f>
              <c:numCache>
                <c:formatCode>General</c:formatCode>
                <c:ptCount val="15"/>
                <c:pt idx="0">
                  <c:v>9.4929999999949359</c:v>
                </c:pt>
                <c:pt idx="1">
                  <c:v>10.099000000001979</c:v>
                </c:pt>
                <c:pt idx="2">
                  <c:v>14.046999999998661</c:v>
                </c:pt>
                <c:pt idx="3">
                  <c:v>14.594000000004598</c:v>
                </c:pt>
                <c:pt idx="4">
                  <c:v>9.896999999997206</c:v>
                </c:pt>
                <c:pt idx="5">
                  <c:v>16.689000000005763</c:v>
                </c:pt>
                <c:pt idx="6">
                  <c:v>14.63300000000163</c:v>
                </c:pt>
                <c:pt idx="7">
                  <c:v>15.588999999999942</c:v>
                </c:pt>
                <c:pt idx="8">
                  <c:v>15.101000000002387</c:v>
                </c:pt>
                <c:pt idx="9">
                  <c:v>12.100000000005821</c:v>
                </c:pt>
                <c:pt idx="10">
                  <c:v>15.854999999995925</c:v>
                </c:pt>
                <c:pt idx="11">
                  <c:v>20.61200000000099</c:v>
                </c:pt>
                <c:pt idx="12">
                  <c:v>15.313000000001921</c:v>
                </c:pt>
                <c:pt idx="13">
                  <c:v>21.326999999997497</c:v>
                </c:pt>
                <c:pt idx="14">
                  <c:v>18.612999999997555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79936"/>
        <c:axId val="203881472"/>
      </c:lineChart>
      <c:catAx>
        <c:axId val="20387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3881472"/>
        <c:crosses val="autoZero"/>
        <c:auto val="1"/>
        <c:lblAlgn val="ctr"/>
        <c:lblOffset val="100"/>
        <c:noMultiLvlLbl val="0"/>
      </c:catAx>
      <c:valAx>
        <c:axId val="20388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87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METERAN 1 BULAN AGUSTUS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'AGUSTUS (METERAN 1)'!$B$31:$C$35</c:f>
              <c:multiLvlStrCache>
                <c:ptCount val="5"/>
                <c:lvl>
                  <c:pt idx="0">
                    <c:v>1 Agustus 2026</c:v>
                  </c:pt>
                  <c:pt idx="1">
                    <c:v>2 Agustus 2026</c:v>
                  </c:pt>
                  <c:pt idx="2">
                    <c:v>3 Agustus 2026</c:v>
                  </c:pt>
                  <c:pt idx="3">
                    <c:v>4 Agustus 2026</c:v>
                  </c:pt>
                  <c:pt idx="4">
                    <c:v>5 Agustus 2026</c:v>
                  </c:pt>
                </c:lvl>
                <c:lvl>
                  <c:pt idx="0">
                    <c:v>Sabtu</c:v>
                  </c:pt>
                  <c:pt idx="1">
                    <c:v>Minggu</c:v>
                  </c:pt>
                  <c:pt idx="2">
                    <c:v>Senin</c:v>
                  </c:pt>
                  <c:pt idx="3">
                    <c:v>Selasa</c:v>
                  </c:pt>
                  <c:pt idx="4">
                    <c:v>Rabu</c:v>
                  </c:pt>
                </c:lvl>
              </c:multiLvlStrCache>
            </c:multiLvlStrRef>
          </c:cat>
          <c:val>
            <c:numRef>
              <c:f>'AGUSTUS (METERAN 1)'!$D$31:$D$35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5C-44ED-BF8D-14F79985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203995776"/>
        <c:axId val="204005760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'AGUSTUS (METERAN 1)'!$B$31:$C$35</c:f>
              <c:multiLvlStrCache>
                <c:ptCount val="5"/>
                <c:lvl>
                  <c:pt idx="0">
                    <c:v>1 Agustus 2026</c:v>
                  </c:pt>
                  <c:pt idx="1">
                    <c:v>2 Agustus 2026</c:v>
                  </c:pt>
                  <c:pt idx="2">
                    <c:v>3 Agustus 2026</c:v>
                  </c:pt>
                  <c:pt idx="3">
                    <c:v>4 Agustus 2026</c:v>
                  </c:pt>
                  <c:pt idx="4">
                    <c:v>5 Agustus 2026</c:v>
                  </c:pt>
                </c:lvl>
                <c:lvl>
                  <c:pt idx="0">
                    <c:v>Sabtu</c:v>
                  </c:pt>
                  <c:pt idx="1">
                    <c:v>Minggu</c:v>
                  </c:pt>
                  <c:pt idx="2">
                    <c:v>Senin</c:v>
                  </c:pt>
                  <c:pt idx="3">
                    <c:v>Selasa</c:v>
                  </c:pt>
                  <c:pt idx="4">
                    <c:v>Rabu</c:v>
                  </c:pt>
                </c:lvl>
              </c:multiLvlStrCache>
            </c:multiLvlStrRef>
          </c:cat>
          <c:val>
            <c:numRef>
              <c:f>'AGUSTUS (METERAN 1)'!$E$31:$E$35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55C-44ED-BF8D-14F79985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08832"/>
        <c:axId val="204007296"/>
      </c:lineChart>
      <c:catAx>
        <c:axId val="20399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4005760"/>
        <c:crosses val="autoZero"/>
        <c:auto val="1"/>
        <c:lblAlgn val="ctr"/>
        <c:lblOffset val="100"/>
        <c:noMultiLvlLbl val="0"/>
      </c:catAx>
      <c:valAx>
        <c:axId val="2040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3995776"/>
        <c:crosses val="autoZero"/>
        <c:crossBetween val="between"/>
      </c:valAx>
      <c:valAx>
        <c:axId val="2040072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4008832"/>
        <c:crosses val="max"/>
        <c:crossBetween val="between"/>
      </c:valAx>
      <c:catAx>
        <c:axId val="20400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007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i="1" baseline="0">
          <a:latin typeface="Arial Narrow" panose="020B0606020202030204" pitchFamily="34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METERAN 1 ( BARU) </a:t>
            </a:r>
            <a:br>
              <a:rPr lang="en-US"/>
            </a:br>
            <a:r>
              <a:rPr lang="en-US"/>
              <a:t>BULAN</a:t>
            </a:r>
            <a:r>
              <a:rPr lang="en-US" baseline="0"/>
              <a:t> </a:t>
            </a:r>
            <a:r>
              <a:rPr lang="en-US"/>
              <a:t>AGUSTUS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'AGUSTUS (METERAN 1)'!$B$41:$C$56</c:f>
              <c:multiLvlStrCache>
                <c:ptCount val="16"/>
                <c:lvl>
                  <c:pt idx="0">
                    <c:v>7 Agustus 2026</c:v>
                  </c:pt>
                  <c:pt idx="1">
                    <c:v>8 Agustus 2026</c:v>
                  </c:pt>
                  <c:pt idx="2">
                    <c:v>9 Agustus 2026</c:v>
                  </c:pt>
                  <c:pt idx="3">
                    <c:v>10 Agustus 2026</c:v>
                  </c:pt>
                  <c:pt idx="4">
                    <c:v>11 Agustus 2026</c:v>
                  </c:pt>
                  <c:pt idx="5">
                    <c:v>12 Agustus 2026</c:v>
                  </c:pt>
                  <c:pt idx="6">
                    <c:v>13 Agustus 2026</c:v>
                  </c:pt>
                  <c:pt idx="7">
                    <c:v>14 Agustus 2026</c:v>
                  </c:pt>
                  <c:pt idx="8">
                    <c:v>15 Agustus 2026</c:v>
                  </c:pt>
                  <c:pt idx="9">
                    <c:v>16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22 Agustus 2026</c:v>
                  </c:pt>
                  <c:pt idx="15">
                    <c:v>23 Agustus 2026</c:v>
                  </c:pt>
                </c:lvl>
                <c:lvl>
                  <c:pt idx="0">
                    <c:v>Jum'at</c:v>
                  </c:pt>
                  <c:pt idx="1">
                    <c:v>Sabtu</c:v>
                  </c:pt>
                  <c:pt idx="2">
                    <c:v>Minggu</c:v>
                  </c:pt>
                  <c:pt idx="3">
                    <c:v>Senin</c:v>
                  </c:pt>
                  <c:pt idx="4">
                    <c:v>Selasa</c:v>
                  </c:pt>
                  <c:pt idx="5">
                    <c:v>Rabu</c:v>
                  </c:pt>
                  <c:pt idx="6">
                    <c:v>Kamis</c:v>
                  </c:pt>
                  <c:pt idx="7">
                    <c:v>Jum'at</c:v>
                  </c:pt>
                  <c:pt idx="8">
                    <c:v>Sabtu</c:v>
                  </c:pt>
                  <c:pt idx="9">
                    <c:v>Minggu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Sabtu</c:v>
                  </c:pt>
                  <c:pt idx="15">
                    <c:v>Minggu</c:v>
                  </c:pt>
                </c:lvl>
              </c:multiLvlStrCache>
            </c:multiLvlStrRef>
          </c:cat>
          <c:val>
            <c:numRef>
              <c:f>'AGUSTUS (METERAN 1)'!$D$41:$D$56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7A-44C0-9A8F-D28F1F88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225344"/>
        <c:axId val="205227136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'AGUSTUS (METERAN 1)'!$B$41:$C$56</c:f>
              <c:multiLvlStrCache>
                <c:ptCount val="16"/>
                <c:lvl>
                  <c:pt idx="0">
                    <c:v>7 Agustus 2026</c:v>
                  </c:pt>
                  <c:pt idx="1">
                    <c:v>8 Agustus 2026</c:v>
                  </c:pt>
                  <c:pt idx="2">
                    <c:v>9 Agustus 2026</c:v>
                  </c:pt>
                  <c:pt idx="3">
                    <c:v>10 Agustus 2026</c:v>
                  </c:pt>
                  <c:pt idx="4">
                    <c:v>11 Agustus 2026</c:v>
                  </c:pt>
                  <c:pt idx="5">
                    <c:v>12 Agustus 2026</c:v>
                  </c:pt>
                  <c:pt idx="6">
                    <c:v>13 Agustus 2026</c:v>
                  </c:pt>
                  <c:pt idx="7">
                    <c:v>14 Agustus 2026</c:v>
                  </c:pt>
                  <c:pt idx="8">
                    <c:v>15 Agustus 2026</c:v>
                  </c:pt>
                  <c:pt idx="9">
                    <c:v>16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22 Agustus 2026</c:v>
                  </c:pt>
                  <c:pt idx="15">
                    <c:v>23 Agustus 2026</c:v>
                  </c:pt>
                </c:lvl>
                <c:lvl>
                  <c:pt idx="0">
                    <c:v>Jum'at</c:v>
                  </c:pt>
                  <c:pt idx="1">
                    <c:v>Sabtu</c:v>
                  </c:pt>
                  <c:pt idx="2">
                    <c:v>Minggu</c:v>
                  </c:pt>
                  <c:pt idx="3">
                    <c:v>Senin</c:v>
                  </c:pt>
                  <c:pt idx="4">
                    <c:v>Selasa</c:v>
                  </c:pt>
                  <c:pt idx="5">
                    <c:v>Rabu</c:v>
                  </c:pt>
                  <c:pt idx="6">
                    <c:v>Kamis</c:v>
                  </c:pt>
                  <c:pt idx="7">
                    <c:v>Jum'at</c:v>
                  </c:pt>
                  <c:pt idx="8">
                    <c:v>Sabtu</c:v>
                  </c:pt>
                  <c:pt idx="9">
                    <c:v>Minggu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Sabtu</c:v>
                  </c:pt>
                  <c:pt idx="15">
                    <c:v>Minggu</c:v>
                  </c:pt>
                </c:lvl>
              </c:multiLvlStrCache>
            </c:multiLvlStrRef>
          </c:cat>
          <c:val>
            <c:numRef>
              <c:f>'AGUSTUS (METERAN 1)'!$E$41:$E$56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27A-44C0-9A8F-D28F1F88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34560"/>
        <c:axId val="205228672"/>
      </c:lineChart>
      <c:catAx>
        <c:axId val="20522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5227136"/>
        <c:crosses val="autoZero"/>
        <c:auto val="1"/>
        <c:lblAlgn val="ctr"/>
        <c:lblOffset val="100"/>
        <c:noMultiLvlLbl val="0"/>
      </c:catAx>
      <c:valAx>
        <c:axId val="2052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5225344"/>
        <c:crosses val="autoZero"/>
        <c:crossBetween val="between"/>
      </c:valAx>
      <c:valAx>
        <c:axId val="2052286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5234560"/>
        <c:crosses val="max"/>
        <c:crossBetween val="between"/>
      </c:valAx>
      <c:catAx>
        <c:axId val="205234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22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multiLvlStrRef>
              <c:f>'AGUSTUS (METERAN 1)'!$G$61:$J$76</c:f>
              <c:multiLvlStrCache>
                <c:ptCount val="16"/>
                <c:lvl>
                  <c:pt idx="0">
                    <c:v>7 Agustus 2026</c:v>
                  </c:pt>
                  <c:pt idx="1">
                    <c:v>8 Agustus 2026</c:v>
                  </c:pt>
                  <c:pt idx="2">
                    <c:v>9 Agustus 2026</c:v>
                  </c:pt>
                  <c:pt idx="3">
                    <c:v>10 Agustus 2026</c:v>
                  </c:pt>
                  <c:pt idx="4">
                    <c:v>11 Agustus 2026</c:v>
                  </c:pt>
                  <c:pt idx="5">
                    <c:v>12 Agustus 2026</c:v>
                  </c:pt>
                  <c:pt idx="6">
                    <c:v>13 Agustus 2026</c:v>
                  </c:pt>
                  <c:pt idx="7">
                    <c:v>14 Agustus 2026</c:v>
                  </c:pt>
                  <c:pt idx="8">
                    <c:v>15 Agustus 2026</c:v>
                  </c:pt>
                  <c:pt idx="9">
                    <c:v>16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22 Agustus 2026</c:v>
                  </c:pt>
                  <c:pt idx="15">
                    <c:v>23 Agustus 2026</c:v>
                  </c:pt>
                </c:lvl>
                <c:lvl>
                  <c:pt idx="0">
                    <c:v>Jum'at</c:v>
                  </c:pt>
                  <c:pt idx="1">
                    <c:v>Sabtu</c:v>
                  </c:pt>
                  <c:pt idx="2">
                    <c:v>Minggu</c:v>
                  </c:pt>
                  <c:pt idx="3">
                    <c:v>Senin</c:v>
                  </c:pt>
                  <c:pt idx="4">
                    <c:v>Selasa</c:v>
                  </c:pt>
                  <c:pt idx="5">
                    <c:v>Rabu</c:v>
                  </c:pt>
                  <c:pt idx="6">
                    <c:v>Kamis</c:v>
                  </c:pt>
                  <c:pt idx="7">
                    <c:v>Jum'at</c:v>
                  </c:pt>
                  <c:pt idx="8">
                    <c:v>Sabtu</c:v>
                  </c:pt>
                  <c:pt idx="9">
                    <c:v>Minggu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Sabtu</c:v>
                  </c:pt>
                  <c:pt idx="15">
                    <c:v>Minggu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'AGUSTUS (METERAN 1)'!$K$61:$K$76</c:f>
              <c:numCache>
                <c:formatCode>General</c:formatCode>
                <c:ptCount val="16"/>
                <c:pt idx="0">
                  <c:v>2.7899999999999996</c:v>
                </c:pt>
                <c:pt idx="1">
                  <c:v>1.1600000000000001</c:v>
                </c:pt>
                <c:pt idx="2">
                  <c:v>1.4700000000000006</c:v>
                </c:pt>
                <c:pt idx="3">
                  <c:v>4.66</c:v>
                </c:pt>
                <c:pt idx="4">
                  <c:v>2.41</c:v>
                </c:pt>
                <c:pt idx="5">
                  <c:v>1.9899999999999984</c:v>
                </c:pt>
                <c:pt idx="6">
                  <c:v>1.6400000000000006</c:v>
                </c:pt>
                <c:pt idx="7">
                  <c:v>1.9299999999999997</c:v>
                </c:pt>
                <c:pt idx="8">
                  <c:v>3.0700000000000003</c:v>
                </c:pt>
                <c:pt idx="9">
                  <c:v>0.85000000000000142</c:v>
                </c:pt>
                <c:pt idx="10">
                  <c:v>3.5700000000000003</c:v>
                </c:pt>
                <c:pt idx="11">
                  <c:v>1.8500000000000085</c:v>
                </c:pt>
                <c:pt idx="12">
                  <c:v>2.9199999999999875</c:v>
                </c:pt>
                <c:pt idx="13">
                  <c:v>1.9000000000000057</c:v>
                </c:pt>
                <c:pt idx="14">
                  <c:v>1.1200000000000045</c:v>
                </c:pt>
                <c:pt idx="15">
                  <c:v>0.48999999999999488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49920"/>
        <c:axId val="205259904"/>
      </c:lineChart>
      <c:catAx>
        <c:axId val="205249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5259904"/>
        <c:crosses val="autoZero"/>
        <c:auto val="1"/>
        <c:lblAlgn val="ctr"/>
        <c:lblOffset val="100"/>
        <c:noMultiLvlLbl val="0"/>
      </c:catAx>
      <c:valAx>
        <c:axId val="20525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249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'AGUSTUS (METERAN 1)'!$D$3</c:f>
              <c:strCache>
                <c:ptCount val="1"/>
                <c:pt idx="0">
                  <c:v>METERAN 1 (KWH 05) Jam 08.00 WIB</c:v>
                </c:pt>
              </c:strCache>
            </c:strRef>
          </c:tx>
          <c:cat>
            <c:multiLvlStrRef>
              <c:f>'AGUSTUS (METERAN 1)'!$A$4:$C$25</c:f>
              <c:multiLvlStrCache>
                <c:ptCount val="22"/>
                <c:lvl>
                  <c:pt idx="0">
                    <c:v>1 Agustus 2026</c:v>
                  </c:pt>
                  <c:pt idx="1">
                    <c:v>2 Agustus 2026</c:v>
                  </c:pt>
                  <c:pt idx="2">
                    <c:v>3 Agustus 2026</c:v>
                  </c:pt>
                  <c:pt idx="3">
                    <c:v>4 Agustus 2026</c:v>
                  </c:pt>
                  <c:pt idx="4">
                    <c:v>5 Agustus 2026</c:v>
                  </c:pt>
                  <c:pt idx="5">
                    <c:v>6 Agustus 2026</c:v>
                  </c:pt>
                  <c:pt idx="6">
                    <c:v>7 Agustus 2026</c:v>
                  </c:pt>
                  <c:pt idx="7">
                    <c:v>8 Agustus 2026</c:v>
                  </c:pt>
                  <c:pt idx="8">
                    <c:v>9 Agustus 2026</c:v>
                  </c:pt>
                  <c:pt idx="9">
                    <c:v>10 Agustus 2026</c:v>
                  </c:pt>
                  <c:pt idx="10">
                    <c:v>11 Agustus 2026</c:v>
                  </c:pt>
                  <c:pt idx="11">
                    <c:v>12 Agustus 2026</c:v>
                  </c:pt>
                  <c:pt idx="12">
                    <c:v>13 Agustus 2026</c:v>
                  </c:pt>
                  <c:pt idx="13">
                    <c:v>14 Agustus 2026</c:v>
                  </c:pt>
                  <c:pt idx="14">
                    <c:v>15 Agustus 2026</c:v>
                  </c:pt>
                  <c:pt idx="15">
                    <c:v>16 Agustus 2026</c:v>
                  </c:pt>
                  <c:pt idx="16">
                    <c:v>18 Agustus 2026</c:v>
                  </c:pt>
                  <c:pt idx="17">
                    <c:v>19 Agustus 2026</c:v>
                  </c:pt>
                  <c:pt idx="18">
                    <c:v>20 Agustus 2026</c:v>
                  </c:pt>
                  <c:pt idx="19">
                    <c:v>21 Agustus 2026</c:v>
                  </c:pt>
                  <c:pt idx="20">
                    <c:v>22 Agustus 2026</c:v>
                  </c:pt>
                  <c:pt idx="21">
                    <c:v>23 Agustus 2026</c:v>
                  </c:pt>
                </c:lvl>
                <c:lvl>
                  <c:pt idx="0">
                    <c:v>Sabtu</c:v>
                  </c:pt>
                  <c:pt idx="1">
                    <c:v>Minggu</c:v>
                  </c:pt>
                  <c:pt idx="2">
                    <c:v>Senin</c:v>
                  </c:pt>
                  <c:pt idx="3">
                    <c:v>Selasa</c:v>
                  </c:pt>
                  <c:pt idx="4">
                    <c:v>Rabu</c:v>
                  </c:pt>
                  <c:pt idx="5">
                    <c:v>Kamis</c:v>
                  </c:pt>
                  <c:pt idx="6">
                    <c:v>Jum'at</c:v>
                  </c:pt>
                  <c:pt idx="7">
                    <c:v>Sabtu</c:v>
                  </c:pt>
                  <c:pt idx="8">
                    <c:v>Minggu</c:v>
                  </c:pt>
                  <c:pt idx="9">
                    <c:v>Senin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Sabtu</c:v>
                  </c:pt>
                  <c:pt idx="15">
                    <c:v>Minggu</c:v>
                  </c:pt>
                  <c:pt idx="16">
                    <c:v>Selasa</c:v>
                  </c:pt>
                  <c:pt idx="17">
                    <c:v>Rabu</c:v>
                  </c:pt>
                  <c:pt idx="18">
                    <c:v>Kamis</c:v>
                  </c:pt>
                  <c:pt idx="19">
                    <c:v>Jum'at</c:v>
                  </c:pt>
                  <c:pt idx="20">
                    <c:v>Sabtu</c:v>
                  </c:pt>
                  <c:pt idx="21">
                    <c:v>Minggu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</c:lvl>
              </c:multiLvlStrCache>
            </c:multiLvlStrRef>
          </c:cat>
          <c:val>
            <c:numRef>
              <c:f>'AGUSTUS (METERAN 1)'!$D$4:$D$25</c:f>
            </c:numRef>
          </c:val>
          <c:smooth val="0"/>
        </c:ser>
        <c:ser>
          <c:idx val="1"/>
          <c:order val="1"/>
          <c:tx>
            <c:strRef>
              <c:f>'AGUSTUS (METERAN 1)'!$E$3</c:f>
              <c:strCache>
                <c:ptCount val="1"/>
                <c:pt idx="0">
                  <c:v>METERAN 1 (KWH 05) Jam 16.00 WIB</c:v>
                </c:pt>
              </c:strCache>
            </c:strRef>
          </c:tx>
          <c:cat>
            <c:multiLvlStrRef>
              <c:f>'AGUSTUS (METERAN 1)'!$A$4:$C$25</c:f>
              <c:multiLvlStrCache>
                <c:ptCount val="22"/>
                <c:lvl>
                  <c:pt idx="0">
                    <c:v>1 Agustus 2026</c:v>
                  </c:pt>
                  <c:pt idx="1">
                    <c:v>2 Agustus 2026</c:v>
                  </c:pt>
                  <c:pt idx="2">
                    <c:v>3 Agustus 2026</c:v>
                  </c:pt>
                  <c:pt idx="3">
                    <c:v>4 Agustus 2026</c:v>
                  </c:pt>
                  <c:pt idx="4">
                    <c:v>5 Agustus 2026</c:v>
                  </c:pt>
                  <c:pt idx="5">
                    <c:v>6 Agustus 2026</c:v>
                  </c:pt>
                  <c:pt idx="6">
                    <c:v>7 Agustus 2026</c:v>
                  </c:pt>
                  <c:pt idx="7">
                    <c:v>8 Agustus 2026</c:v>
                  </c:pt>
                  <c:pt idx="8">
                    <c:v>9 Agustus 2026</c:v>
                  </c:pt>
                  <c:pt idx="9">
                    <c:v>10 Agustus 2026</c:v>
                  </c:pt>
                  <c:pt idx="10">
                    <c:v>11 Agustus 2026</c:v>
                  </c:pt>
                  <c:pt idx="11">
                    <c:v>12 Agustus 2026</c:v>
                  </c:pt>
                  <c:pt idx="12">
                    <c:v>13 Agustus 2026</c:v>
                  </c:pt>
                  <c:pt idx="13">
                    <c:v>14 Agustus 2026</c:v>
                  </c:pt>
                  <c:pt idx="14">
                    <c:v>15 Agustus 2026</c:v>
                  </c:pt>
                  <c:pt idx="15">
                    <c:v>16 Agustus 2026</c:v>
                  </c:pt>
                  <c:pt idx="16">
                    <c:v>18 Agustus 2026</c:v>
                  </c:pt>
                  <c:pt idx="17">
                    <c:v>19 Agustus 2026</c:v>
                  </c:pt>
                  <c:pt idx="18">
                    <c:v>20 Agustus 2026</c:v>
                  </c:pt>
                  <c:pt idx="19">
                    <c:v>21 Agustus 2026</c:v>
                  </c:pt>
                  <c:pt idx="20">
                    <c:v>22 Agustus 2026</c:v>
                  </c:pt>
                  <c:pt idx="21">
                    <c:v>23 Agustus 2026</c:v>
                  </c:pt>
                </c:lvl>
                <c:lvl>
                  <c:pt idx="0">
                    <c:v>Sabtu</c:v>
                  </c:pt>
                  <c:pt idx="1">
                    <c:v>Minggu</c:v>
                  </c:pt>
                  <c:pt idx="2">
                    <c:v>Senin</c:v>
                  </c:pt>
                  <c:pt idx="3">
                    <c:v>Selasa</c:v>
                  </c:pt>
                  <c:pt idx="4">
                    <c:v>Rabu</c:v>
                  </c:pt>
                  <c:pt idx="5">
                    <c:v>Kamis</c:v>
                  </c:pt>
                  <c:pt idx="6">
                    <c:v>Jum'at</c:v>
                  </c:pt>
                  <c:pt idx="7">
                    <c:v>Sabtu</c:v>
                  </c:pt>
                  <c:pt idx="8">
                    <c:v>Minggu</c:v>
                  </c:pt>
                  <c:pt idx="9">
                    <c:v>Senin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Sabtu</c:v>
                  </c:pt>
                  <c:pt idx="15">
                    <c:v>Minggu</c:v>
                  </c:pt>
                  <c:pt idx="16">
                    <c:v>Selasa</c:v>
                  </c:pt>
                  <c:pt idx="17">
                    <c:v>Rabu</c:v>
                  </c:pt>
                  <c:pt idx="18">
                    <c:v>Kamis</c:v>
                  </c:pt>
                  <c:pt idx="19">
                    <c:v>Jum'at</c:v>
                  </c:pt>
                  <c:pt idx="20">
                    <c:v>Sabtu</c:v>
                  </c:pt>
                  <c:pt idx="21">
                    <c:v>Minggu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</c:lvl>
              </c:multiLvlStrCache>
            </c:multiLvlStrRef>
          </c:cat>
          <c:val>
            <c:numRef>
              <c:f>'AGUSTUS (METERAN 1)'!$E$4:$E$25</c:f>
            </c:numRef>
          </c:val>
          <c:smooth val="0"/>
        </c:ser>
        <c:ser>
          <c:idx val="2"/>
          <c:order val="2"/>
          <c:tx>
            <c:strRef>
              <c:f>'AGUSTUS (METERAN 1)'!$F$3</c:f>
              <c:strCache>
                <c:ptCount val="1"/>
                <c:pt idx="0">
                  <c:v> (PEMAKAIAN LISTRIK)</c:v>
                </c:pt>
              </c:strCache>
            </c:strRef>
          </c:tx>
          <c:marker>
            <c:symbol val="none"/>
          </c:marker>
          <c:cat>
            <c:multiLvlStrRef>
              <c:f>'AGUSTUS (METERAN 1)'!$A$4:$C$25</c:f>
              <c:multiLvlStrCache>
                <c:ptCount val="22"/>
                <c:lvl>
                  <c:pt idx="0">
                    <c:v>1 Agustus 2026</c:v>
                  </c:pt>
                  <c:pt idx="1">
                    <c:v>2 Agustus 2026</c:v>
                  </c:pt>
                  <c:pt idx="2">
                    <c:v>3 Agustus 2026</c:v>
                  </c:pt>
                  <c:pt idx="3">
                    <c:v>4 Agustus 2026</c:v>
                  </c:pt>
                  <c:pt idx="4">
                    <c:v>5 Agustus 2026</c:v>
                  </c:pt>
                  <c:pt idx="5">
                    <c:v>6 Agustus 2026</c:v>
                  </c:pt>
                  <c:pt idx="6">
                    <c:v>7 Agustus 2026</c:v>
                  </c:pt>
                  <c:pt idx="7">
                    <c:v>8 Agustus 2026</c:v>
                  </c:pt>
                  <c:pt idx="8">
                    <c:v>9 Agustus 2026</c:v>
                  </c:pt>
                  <c:pt idx="9">
                    <c:v>10 Agustus 2026</c:v>
                  </c:pt>
                  <c:pt idx="10">
                    <c:v>11 Agustus 2026</c:v>
                  </c:pt>
                  <c:pt idx="11">
                    <c:v>12 Agustus 2026</c:v>
                  </c:pt>
                  <c:pt idx="12">
                    <c:v>13 Agustus 2026</c:v>
                  </c:pt>
                  <c:pt idx="13">
                    <c:v>14 Agustus 2026</c:v>
                  </c:pt>
                  <c:pt idx="14">
                    <c:v>15 Agustus 2026</c:v>
                  </c:pt>
                  <c:pt idx="15">
                    <c:v>16 Agustus 2026</c:v>
                  </c:pt>
                  <c:pt idx="16">
                    <c:v>18 Agustus 2026</c:v>
                  </c:pt>
                  <c:pt idx="17">
                    <c:v>19 Agustus 2026</c:v>
                  </c:pt>
                  <c:pt idx="18">
                    <c:v>20 Agustus 2026</c:v>
                  </c:pt>
                  <c:pt idx="19">
                    <c:v>21 Agustus 2026</c:v>
                  </c:pt>
                  <c:pt idx="20">
                    <c:v>22 Agustus 2026</c:v>
                  </c:pt>
                  <c:pt idx="21">
                    <c:v>23 Agustus 2026</c:v>
                  </c:pt>
                </c:lvl>
                <c:lvl>
                  <c:pt idx="0">
                    <c:v>Sabtu</c:v>
                  </c:pt>
                  <c:pt idx="1">
                    <c:v>Minggu</c:v>
                  </c:pt>
                  <c:pt idx="2">
                    <c:v>Senin</c:v>
                  </c:pt>
                  <c:pt idx="3">
                    <c:v>Selasa</c:v>
                  </c:pt>
                  <c:pt idx="4">
                    <c:v>Rabu</c:v>
                  </c:pt>
                  <c:pt idx="5">
                    <c:v>Kamis</c:v>
                  </c:pt>
                  <c:pt idx="6">
                    <c:v>Jum'at</c:v>
                  </c:pt>
                  <c:pt idx="7">
                    <c:v>Sabtu</c:v>
                  </c:pt>
                  <c:pt idx="8">
                    <c:v>Minggu</c:v>
                  </c:pt>
                  <c:pt idx="9">
                    <c:v>Senin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Sabtu</c:v>
                  </c:pt>
                  <c:pt idx="15">
                    <c:v>Minggu</c:v>
                  </c:pt>
                  <c:pt idx="16">
                    <c:v>Selasa</c:v>
                  </c:pt>
                  <c:pt idx="17">
                    <c:v>Rabu</c:v>
                  </c:pt>
                  <c:pt idx="18">
                    <c:v>Kamis</c:v>
                  </c:pt>
                  <c:pt idx="19">
                    <c:v>Jum'at</c:v>
                  </c:pt>
                  <c:pt idx="20">
                    <c:v>Sabtu</c:v>
                  </c:pt>
                  <c:pt idx="21">
                    <c:v>Minggu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</c:lvl>
              </c:multiLvlStrCache>
            </c:multiLvlStrRef>
          </c:cat>
          <c:val>
            <c:numRef>
              <c:f>'AGUSTUS (METERAN 1)'!$F$4:$F$25</c:f>
              <c:numCache>
                <c:formatCode>General</c:formatCode>
                <c:ptCount val="22"/>
                <c:pt idx="0">
                  <c:v>2.25</c:v>
                </c:pt>
                <c:pt idx="1">
                  <c:v>3.2799999999999727</c:v>
                </c:pt>
                <c:pt idx="2">
                  <c:v>2.9700000000000273</c:v>
                </c:pt>
                <c:pt idx="3">
                  <c:v>2.5199999999999818</c:v>
                </c:pt>
                <c:pt idx="4">
                  <c:v>2.6000000000000227</c:v>
                </c:pt>
                <c:pt idx="5">
                  <c:v>0</c:v>
                </c:pt>
                <c:pt idx="6">
                  <c:v>2.7899999999999996</c:v>
                </c:pt>
                <c:pt idx="7">
                  <c:v>1.1600000000000001</c:v>
                </c:pt>
                <c:pt idx="8">
                  <c:v>1.4700000000000006</c:v>
                </c:pt>
                <c:pt idx="9">
                  <c:v>4.66</c:v>
                </c:pt>
                <c:pt idx="10">
                  <c:v>2.41</c:v>
                </c:pt>
                <c:pt idx="11">
                  <c:v>1.9899999999999984</c:v>
                </c:pt>
                <c:pt idx="12">
                  <c:v>1.6400000000000006</c:v>
                </c:pt>
                <c:pt idx="13">
                  <c:v>1.9299999999999997</c:v>
                </c:pt>
                <c:pt idx="14">
                  <c:v>3.0700000000000003</c:v>
                </c:pt>
                <c:pt idx="15">
                  <c:v>0.85000000000000142</c:v>
                </c:pt>
                <c:pt idx="16">
                  <c:v>3.5700000000000003</c:v>
                </c:pt>
                <c:pt idx="17">
                  <c:v>1.8500000000000085</c:v>
                </c:pt>
                <c:pt idx="18">
                  <c:v>2.9199999999999875</c:v>
                </c:pt>
                <c:pt idx="19">
                  <c:v>1.9000000000000057</c:v>
                </c:pt>
                <c:pt idx="20">
                  <c:v>1.1200000000000045</c:v>
                </c:pt>
                <c:pt idx="21">
                  <c:v>0.48999999999999488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81920"/>
        <c:axId val="205291904"/>
      </c:lineChart>
      <c:catAx>
        <c:axId val="205281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5291904"/>
        <c:crosses val="autoZero"/>
        <c:auto val="1"/>
        <c:lblAlgn val="ctr"/>
        <c:lblOffset val="100"/>
        <c:noMultiLvlLbl val="0"/>
      </c:catAx>
      <c:valAx>
        <c:axId val="20529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281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METERAN 2 </a:t>
            </a:r>
            <a:br>
              <a:rPr lang="en-US"/>
            </a:br>
            <a:r>
              <a:rPr lang="en-US"/>
              <a:t>BULAN AGUSTUS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'AGUSTUS (METERAN 2) '!$B$4:$C$18</c:f>
              <c:multiLvlStrCache>
                <c:ptCount val="15"/>
                <c:lvl>
                  <c:pt idx="0">
                    <c:v>3 Agustus 2026</c:v>
                  </c:pt>
                  <c:pt idx="1">
                    <c:v>4 Agustus 2026</c:v>
                  </c:pt>
                  <c:pt idx="2">
                    <c:v>5 Agustus 2026</c:v>
                  </c:pt>
                  <c:pt idx="3">
                    <c:v>6 Agustus 2026</c:v>
                  </c:pt>
                  <c:pt idx="4">
                    <c:v>7 Agustus 2026</c:v>
                  </c:pt>
                  <c:pt idx="5">
                    <c:v>10 Agustus 2026</c:v>
                  </c:pt>
                  <c:pt idx="6">
                    <c:v>11 Agustus 2026</c:v>
                  </c:pt>
                  <c:pt idx="7">
                    <c:v>12 Agustus 2026</c:v>
                  </c:pt>
                  <c:pt idx="8">
                    <c:v>13 Agustus 2026</c:v>
                  </c:pt>
                  <c:pt idx="9">
                    <c:v>14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24 Agustus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Senin</c:v>
                  </c:pt>
                </c:lvl>
              </c:multiLvlStrCache>
            </c:multiLvlStrRef>
          </c:cat>
          <c:val>
            <c:numRef>
              <c:f>'AGUSTUS (METERAN 2) '!$D$4:$D$18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5C-4EF7-993F-353B0544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79968"/>
        <c:axId val="2081815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'AGUSTUS (METERAN 2) '!$B$4:$C$18</c:f>
              <c:multiLvlStrCache>
                <c:ptCount val="15"/>
                <c:lvl>
                  <c:pt idx="0">
                    <c:v>3 Agustus 2026</c:v>
                  </c:pt>
                  <c:pt idx="1">
                    <c:v>4 Agustus 2026</c:v>
                  </c:pt>
                  <c:pt idx="2">
                    <c:v>5 Agustus 2026</c:v>
                  </c:pt>
                  <c:pt idx="3">
                    <c:v>6 Agustus 2026</c:v>
                  </c:pt>
                  <c:pt idx="4">
                    <c:v>7 Agustus 2026</c:v>
                  </c:pt>
                  <c:pt idx="5">
                    <c:v>10 Agustus 2026</c:v>
                  </c:pt>
                  <c:pt idx="6">
                    <c:v>11 Agustus 2026</c:v>
                  </c:pt>
                  <c:pt idx="7">
                    <c:v>12 Agustus 2026</c:v>
                  </c:pt>
                  <c:pt idx="8">
                    <c:v>13 Agustus 2026</c:v>
                  </c:pt>
                  <c:pt idx="9">
                    <c:v>14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24 Agustus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Senin</c:v>
                  </c:pt>
                </c:lvl>
              </c:multiLvlStrCache>
            </c:multiLvlStrRef>
          </c:cat>
          <c:val>
            <c:numRef>
              <c:f>'AGUSTUS (METERAN 2) '!$E$4:$E$18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5C-4EF7-993F-353B0544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88928"/>
        <c:axId val="208187392"/>
      </c:lineChart>
      <c:catAx>
        <c:axId val="20817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8181504"/>
        <c:crosses val="autoZero"/>
        <c:auto val="1"/>
        <c:lblAlgn val="ctr"/>
        <c:lblOffset val="100"/>
        <c:noMultiLvlLbl val="0"/>
      </c:catAx>
      <c:valAx>
        <c:axId val="20818150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8179968"/>
        <c:crosses val="autoZero"/>
        <c:crossBetween val="between"/>
      </c:valAx>
      <c:valAx>
        <c:axId val="2081873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d-ID"/>
          </a:p>
        </c:txPr>
        <c:crossAx val="208188928"/>
        <c:crosses val="max"/>
        <c:crossBetween val="between"/>
      </c:valAx>
      <c:catAx>
        <c:axId val="208188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18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Arial Narrow" panose="020B0606020202030204" pitchFamily="34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'AGUSTUS (METERAN 2) '!$D$3</c:f>
              <c:strCache>
                <c:ptCount val="1"/>
                <c:pt idx="0">
                  <c:v>METERAN 1 (KWH 05) Jam 08.00 WIB</c:v>
                </c:pt>
              </c:strCache>
            </c:strRef>
          </c:tx>
          <c:cat>
            <c:multiLvlStrRef>
              <c:f>'AGUSTUS (METERAN 2) '!$A$4:$C$18</c:f>
              <c:multiLvlStrCache>
                <c:ptCount val="15"/>
                <c:lvl>
                  <c:pt idx="0">
                    <c:v>3 Agustus 2026</c:v>
                  </c:pt>
                  <c:pt idx="1">
                    <c:v>4 Agustus 2026</c:v>
                  </c:pt>
                  <c:pt idx="2">
                    <c:v>5 Agustus 2026</c:v>
                  </c:pt>
                  <c:pt idx="3">
                    <c:v>6 Agustus 2026</c:v>
                  </c:pt>
                  <c:pt idx="4">
                    <c:v>7 Agustus 2026</c:v>
                  </c:pt>
                  <c:pt idx="5">
                    <c:v>10 Agustus 2026</c:v>
                  </c:pt>
                  <c:pt idx="6">
                    <c:v>11 Agustus 2026</c:v>
                  </c:pt>
                  <c:pt idx="7">
                    <c:v>12 Agustus 2026</c:v>
                  </c:pt>
                  <c:pt idx="8">
                    <c:v>13 Agustus 2026</c:v>
                  </c:pt>
                  <c:pt idx="9">
                    <c:v>14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24 Agustus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Senin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'AGUSTUS (METERAN 2) '!$D$4:$D$18</c:f>
            </c:numRef>
          </c:val>
          <c:smooth val="0"/>
        </c:ser>
        <c:ser>
          <c:idx val="1"/>
          <c:order val="1"/>
          <c:tx>
            <c:strRef>
              <c:f>'AGUSTUS (METERAN 2) '!$E$3</c:f>
              <c:strCache>
                <c:ptCount val="1"/>
                <c:pt idx="0">
                  <c:v>METERAN 1 (KWH 05) Jam 16.00 WIB</c:v>
                </c:pt>
              </c:strCache>
            </c:strRef>
          </c:tx>
          <c:cat>
            <c:multiLvlStrRef>
              <c:f>'AGUSTUS (METERAN 2) '!$A$4:$C$18</c:f>
              <c:multiLvlStrCache>
                <c:ptCount val="15"/>
                <c:lvl>
                  <c:pt idx="0">
                    <c:v>3 Agustus 2026</c:v>
                  </c:pt>
                  <c:pt idx="1">
                    <c:v>4 Agustus 2026</c:v>
                  </c:pt>
                  <c:pt idx="2">
                    <c:v>5 Agustus 2026</c:v>
                  </c:pt>
                  <c:pt idx="3">
                    <c:v>6 Agustus 2026</c:v>
                  </c:pt>
                  <c:pt idx="4">
                    <c:v>7 Agustus 2026</c:v>
                  </c:pt>
                  <c:pt idx="5">
                    <c:v>10 Agustus 2026</c:v>
                  </c:pt>
                  <c:pt idx="6">
                    <c:v>11 Agustus 2026</c:v>
                  </c:pt>
                  <c:pt idx="7">
                    <c:v>12 Agustus 2026</c:v>
                  </c:pt>
                  <c:pt idx="8">
                    <c:v>13 Agustus 2026</c:v>
                  </c:pt>
                  <c:pt idx="9">
                    <c:v>14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24 Agustus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Senin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'AGUSTUS (METERAN 2) '!$E$4:$E$18</c:f>
            </c:numRef>
          </c:val>
          <c:smooth val="0"/>
        </c:ser>
        <c:ser>
          <c:idx val="2"/>
          <c:order val="2"/>
          <c:tx>
            <c:strRef>
              <c:f>'AGUSTUS (METERAN 2) '!$F$3</c:f>
              <c:strCache>
                <c:ptCount val="1"/>
                <c:pt idx="0">
                  <c:v> (PEMAKAIAN LISTRIK)</c:v>
                </c:pt>
              </c:strCache>
            </c:strRef>
          </c:tx>
          <c:marker>
            <c:symbol val="none"/>
          </c:marker>
          <c:cat>
            <c:multiLvlStrRef>
              <c:f>'AGUSTUS (METERAN 2) '!$A$4:$C$18</c:f>
              <c:multiLvlStrCache>
                <c:ptCount val="15"/>
                <c:lvl>
                  <c:pt idx="0">
                    <c:v>3 Agustus 2026</c:v>
                  </c:pt>
                  <c:pt idx="1">
                    <c:v>4 Agustus 2026</c:v>
                  </c:pt>
                  <c:pt idx="2">
                    <c:v>5 Agustus 2026</c:v>
                  </c:pt>
                  <c:pt idx="3">
                    <c:v>6 Agustus 2026</c:v>
                  </c:pt>
                  <c:pt idx="4">
                    <c:v>7 Agustus 2026</c:v>
                  </c:pt>
                  <c:pt idx="5">
                    <c:v>10 Agustus 2026</c:v>
                  </c:pt>
                  <c:pt idx="6">
                    <c:v>11 Agustus 2026</c:v>
                  </c:pt>
                  <c:pt idx="7">
                    <c:v>12 Agustus 2026</c:v>
                  </c:pt>
                  <c:pt idx="8">
                    <c:v>13 Agustus 2026</c:v>
                  </c:pt>
                  <c:pt idx="9">
                    <c:v>14 Agustus 2026</c:v>
                  </c:pt>
                  <c:pt idx="10">
                    <c:v>18 Agustus 2026</c:v>
                  </c:pt>
                  <c:pt idx="11">
                    <c:v>19 Agustus 2026</c:v>
                  </c:pt>
                  <c:pt idx="12">
                    <c:v>20 Agustus 2026</c:v>
                  </c:pt>
                  <c:pt idx="13">
                    <c:v>21 Agustus 2026</c:v>
                  </c:pt>
                  <c:pt idx="14">
                    <c:v>24 Agustus 2026</c:v>
                  </c:pt>
                </c:lvl>
                <c:lvl>
                  <c:pt idx="0">
                    <c:v>Senin</c:v>
                  </c:pt>
                  <c:pt idx="1">
                    <c:v>Selasa</c:v>
                  </c:pt>
                  <c:pt idx="2">
                    <c:v>Rabu</c:v>
                  </c:pt>
                  <c:pt idx="3">
                    <c:v>Kamis</c:v>
                  </c:pt>
                  <c:pt idx="4">
                    <c:v>Jum'at</c:v>
                  </c:pt>
                  <c:pt idx="5">
                    <c:v>Senin</c:v>
                  </c:pt>
                  <c:pt idx="6">
                    <c:v>Selasa</c:v>
                  </c:pt>
                  <c:pt idx="7">
                    <c:v>Rabu</c:v>
                  </c:pt>
                  <c:pt idx="8">
                    <c:v>Kamis</c:v>
                  </c:pt>
                  <c:pt idx="9">
                    <c:v>Jum'at</c:v>
                  </c:pt>
                  <c:pt idx="10">
                    <c:v>Selasa</c:v>
                  </c:pt>
                  <c:pt idx="11">
                    <c:v>Rabu</c:v>
                  </c:pt>
                  <c:pt idx="12">
                    <c:v>Kamis</c:v>
                  </c:pt>
                  <c:pt idx="13">
                    <c:v>Jum'at</c:v>
                  </c:pt>
                  <c:pt idx="14">
                    <c:v>Senin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'AGUSTUS (METERAN 2) '!$F$4:$F$18</c:f>
              <c:numCache>
                <c:formatCode>General</c:formatCode>
                <c:ptCount val="15"/>
                <c:pt idx="0">
                  <c:v>18.687999999994645</c:v>
                </c:pt>
                <c:pt idx="1">
                  <c:v>19.334000000002561</c:v>
                </c:pt>
                <c:pt idx="2">
                  <c:v>19.775000000001455</c:v>
                </c:pt>
                <c:pt idx="3">
                  <c:v>9.6980000000039581</c:v>
                </c:pt>
                <c:pt idx="4">
                  <c:v>21.480999999999767</c:v>
                </c:pt>
                <c:pt idx="5">
                  <c:v>13.17099999999482</c:v>
                </c:pt>
                <c:pt idx="6">
                  <c:v>9.5460000000020955</c:v>
                </c:pt>
                <c:pt idx="7">
                  <c:v>12.358000000000175</c:v>
                </c:pt>
                <c:pt idx="8">
                  <c:v>15.311000000001513</c:v>
                </c:pt>
                <c:pt idx="9">
                  <c:v>12.891999999999825</c:v>
                </c:pt>
                <c:pt idx="10">
                  <c:v>11.575000000004366</c:v>
                </c:pt>
                <c:pt idx="11">
                  <c:v>15.56699999999546</c:v>
                </c:pt>
                <c:pt idx="12">
                  <c:v>22.100000000005821</c:v>
                </c:pt>
                <c:pt idx="13">
                  <c:v>18.855000000003201</c:v>
                </c:pt>
                <c:pt idx="14">
                  <c:v>13.397000000004482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18368"/>
        <c:axId val="208220160"/>
      </c:lineChart>
      <c:catAx>
        <c:axId val="208218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8220160"/>
        <c:crosses val="autoZero"/>
        <c:auto val="1"/>
        <c:lblAlgn val="ctr"/>
        <c:lblOffset val="100"/>
        <c:noMultiLvlLbl val="0"/>
      </c:catAx>
      <c:valAx>
        <c:axId val="208220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218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150495</xdr:colOff>
      <xdr:row>4</xdr:row>
      <xdr:rowOff>22860</xdr:rowOff>
    </xdr:from>
    <xdr:to>
      <xdr:col>19</xdr:col>
      <xdr:colOff>142875</xdr:colOff>
      <xdr:row>12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3B70171-F589-1CF5-777D-66C6E5315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80961</xdr:colOff>
      <xdr:row>3</xdr:row>
      <xdr:rowOff>361950</xdr:rowOff>
    </xdr:from>
    <xdr:to>
      <xdr:col>19</xdr:col>
      <xdr:colOff>142874</xdr:colOff>
      <xdr:row>14</xdr:row>
      <xdr:rowOff>228600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3</xdr:row>
      <xdr:rowOff>350520</xdr:rowOff>
    </xdr:from>
    <xdr:to>
      <xdr:col>21</xdr:col>
      <xdr:colOff>22860</xdr:colOff>
      <xdr:row>13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8A4616C-EB81-970D-8A5B-C254C9043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204786</xdr:colOff>
      <xdr:row>4</xdr:row>
      <xdr:rowOff>114300</xdr:rowOff>
    </xdr:from>
    <xdr:to>
      <xdr:col>20</xdr:col>
      <xdr:colOff>590549</xdr:colOff>
      <xdr:row>15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579120</xdr:colOff>
      <xdr:row>28</xdr:row>
      <xdr:rowOff>19050</xdr:rowOff>
    </xdr:from>
    <xdr:to>
      <xdr:col>19</xdr:col>
      <xdr:colOff>601980</xdr:colOff>
      <xdr:row>35</xdr:row>
      <xdr:rowOff>308610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4BCB39E-E9A6-AD9A-2F4D-EB13195A1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470535</xdr:colOff>
      <xdr:row>41</xdr:row>
      <xdr:rowOff>36195</xdr:rowOff>
    </xdr:from>
    <xdr:to>
      <xdr:col>20</xdr:col>
      <xdr:colOff>497205</xdr:colOff>
      <xdr:row>49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DB5F85F-918F-AFE1-CA78-8451A9424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523875</xdr:colOff>
      <xdr:row>59</xdr:row>
      <xdr:rowOff>152400</xdr:rowOff>
    </xdr:from>
    <xdr:to>
      <xdr:col>21</xdr:col>
      <xdr:colOff>314325</xdr:colOff>
      <xdr:row>77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19050</xdr:colOff>
      <xdr:row>2</xdr:row>
      <xdr:rowOff>38100</xdr:rowOff>
    </xdr:from>
    <xdr:to>
      <xdr:col>22</xdr:col>
      <xdr:colOff>66675</xdr:colOff>
      <xdr:row>16</xdr:row>
      <xdr:rowOff>85724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228600</xdr:rowOff>
    </xdr:from>
    <xdr:to>
      <xdr:col>21</xdr:col>
      <xdr:colOff>571500</xdr:colOff>
      <xdr:row>10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B4C015A-09CD-8099-627A-E3696183C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471487</xdr:colOff>
      <xdr:row>2</xdr:row>
      <xdr:rowOff>19050</xdr:rowOff>
    </xdr:from>
    <xdr:to>
      <xdr:col>20</xdr:col>
      <xdr:colOff>133351</xdr:colOff>
      <xdr:row>12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R20"/>
  <sheetViews>
    <sheetView topLeftCell="A19" workbookViewId="0">
      <selection activeCell="F21" sqref="F21"/>
    </sheetView>
  </sheetViews>
  <sheetFormatPr defaultColWidth="8.85546875" defaultRowHeight="15"/>
  <cols>
    <col min="1" max="1" width="6.140625" style="2" customWidth="1"/>
    <col min="2" max="2" width="11.7109375" style="2" customWidth="1"/>
    <col min="3" max="3" width="23.7109375" style="2" customWidth="1"/>
    <col min="4" max="4" width="22.85546875" style="2" hidden="1" customWidth="1"/>
    <col min="5" max="5" width="24.28515625" style="2" hidden="1" customWidth="1"/>
    <col min="6" max="6" width="24.28515625" style="12" customWidth="1"/>
    <col min="7" max="16384" width="8.85546875" style="3"/>
  </cols>
  <sheetData>
    <row r="1" spans="1:18" ht="19.899999999999999" customHeight="1">
      <c r="A1" s="24" t="s">
        <v>54</v>
      </c>
      <c r="B1" s="24"/>
      <c r="C1" s="24"/>
      <c r="D1" s="24"/>
      <c r="E1" s="24"/>
    </row>
    <row r="2" spans="1:18" ht="19.899999999999999" customHeight="1">
      <c r="A2" s="25" t="s">
        <v>2</v>
      </c>
      <c r="B2" s="25"/>
      <c r="C2" s="25"/>
      <c r="D2" s="25"/>
      <c r="E2" s="25"/>
      <c r="F2" s="18"/>
    </row>
    <row r="3" spans="1:18" s="2" customFormat="1" ht="43.15" customHeight="1">
      <c r="A3" s="1" t="s">
        <v>0</v>
      </c>
      <c r="B3" s="1" t="s">
        <v>14</v>
      </c>
      <c r="C3" s="1" t="s">
        <v>1</v>
      </c>
      <c r="D3" s="4" t="s">
        <v>22</v>
      </c>
      <c r="E3" s="4" t="s">
        <v>23</v>
      </c>
      <c r="F3" s="4" t="s">
        <v>61</v>
      </c>
      <c r="H3" s="26" t="s">
        <v>58</v>
      </c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30" customHeight="1">
      <c r="A4" s="1">
        <v>1</v>
      </c>
      <c r="B4" s="1" t="s">
        <v>15</v>
      </c>
      <c r="C4" s="5" t="s">
        <v>3</v>
      </c>
      <c r="D4" s="1">
        <v>697.66</v>
      </c>
      <c r="E4" s="1">
        <v>700.02</v>
      </c>
      <c r="F4" s="1">
        <f>E4-D4</f>
        <v>2.3600000000000136</v>
      </c>
    </row>
    <row r="5" spans="1:18" ht="30" customHeight="1">
      <c r="A5" s="1">
        <v>2</v>
      </c>
      <c r="B5" s="1" t="s">
        <v>16</v>
      </c>
      <c r="C5" s="5" t="s">
        <v>4</v>
      </c>
      <c r="D5" s="1">
        <v>703.38</v>
      </c>
      <c r="E5" s="1">
        <v>706.21</v>
      </c>
      <c r="F5" s="1">
        <f t="shared" ref="F5:F19" si="0">E5-D5</f>
        <v>2.8300000000000409</v>
      </c>
    </row>
    <row r="6" spans="1:18" ht="30" customHeight="1">
      <c r="A6" s="1">
        <v>3</v>
      </c>
      <c r="B6" s="1" t="s">
        <v>17</v>
      </c>
      <c r="C6" s="5" t="s">
        <v>5</v>
      </c>
      <c r="D6" s="1">
        <v>709.02</v>
      </c>
      <c r="E6" s="1">
        <v>711.39</v>
      </c>
      <c r="F6" s="1">
        <f t="shared" si="0"/>
        <v>2.3700000000000045</v>
      </c>
    </row>
    <row r="7" spans="1:18" ht="30" customHeight="1">
      <c r="A7" s="1">
        <v>4</v>
      </c>
      <c r="B7" s="1" t="s">
        <v>18</v>
      </c>
      <c r="C7" s="5" t="s">
        <v>6</v>
      </c>
      <c r="D7" s="1">
        <v>715.13</v>
      </c>
      <c r="E7" s="1">
        <v>716.18</v>
      </c>
      <c r="F7" s="1">
        <f t="shared" si="0"/>
        <v>1.0499999999999545</v>
      </c>
    </row>
    <row r="8" spans="1:18" ht="30" customHeight="1">
      <c r="A8" s="1">
        <v>5</v>
      </c>
      <c r="B8" s="1" t="s">
        <v>19</v>
      </c>
      <c r="C8" s="5" t="s">
        <v>7</v>
      </c>
      <c r="D8" s="1">
        <v>726.04</v>
      </c>
      <c r="E8" s="1">
        <v>729.21</v>
      </c>
      <c r="F8" s="1">
        <f t="shared" si="0"/>
        <v>3.1700000000000728</v>
      </c>
    </row>
    <row r="9" spans="1:18" ht="30" customHeight="1">
      <c r="A9" s="1">
        <v>6</v>
      </c>
      <c r="B9" s="1" t="s">
        <v>15</v>
      </c>
      <c r="C9" s="5" t="s">
        <v>8</v>
      </c>
      <c r="D9" s="1">
        <v>734.49</v>
      </c>
      <c r="E9" s="1">
        <v>736.96</v>
      </c>
      <c r="F9" s="1">
        <f t="shared" si="0"/>
        <v>2.4700000000000273</v>
      </c>
    </row>
    <row r="10" spans="1:18" ht="30" customHeight="1">
      <c r="A10" s="1">
        <v>7</v>
      </c>
      <c r="B10" s="1" t="s">
        <v>16</v>
      </c>
      <c r="C10" s="5" t="s">
        <v>9</v>
      </c>
      <c r="D10" s="1">
        <v>740.52</v>
      </c>
      <c r="E10" s="1">
        <v>745.96</v>
      </c>
      <c r="F10" s="1">
        <f t="shared" si="0"/>
        <v>5.4400000000000546</v>
      </c>
    </row>
    <row r="11" spans="1:18" ht="30" customHeight="1">
      <c r="A11" s="1">
        <v>8</v>
      </c>
      <c r="B11" s="1" t="s">
        <v>17</v>
      </c>
      <c r="C11" s="5" t="s">
        <v>10</v>
      </c>
      <c r="D11" s="1">
        <v>749.64</v>
      </c>
      <c r="E11" s="1">
        <v>755.03</v>
      </c>
      <c r="F11" s="1">
        <f t="shared" si="0"/>
        <v>5.3899999999999864</v>
      </c>
    </row>
    <row r="12" spans="1:18" ht="30" customHeight="1">
      <c r="A12" s="1">
        <v>9</v>
      </c>
      <c r="B12" s="1" t="s">
        <v>18</v>
      </c>
      <c r="C12" s="5" t="s">
        <v>11</v>
      </c>
      <c r="D12" s="1">
        <v>760.53</v>
      </c>
      <c r="E12" s="1">
        <v>765.49</v>
      </c>
      <c r="F12" s="1">
        <f t="shared" si="0"/>
        <v>4.9600000000000364</v>
      </c>
    </row>
    <row r="13" spans="1:18" ht="30" customHeight="1">
      <c r="A13" s="1">
        <v>10</v>
      </c>
      <c r="B13" s="1" t="s">
        <v>20</v>
      </c>
      <c r="C13" s="5" t="s">
        <v>12</v>
      </c>
      <c r="D13" s="1">
        <v>768.84</v>
      </c>
      <c r="E13" s="1">
        <v>773.4</v>
      </c>
      <c r="F13" s="1">
        <f t="shared" si="0"/>
        <v>4.5599999999999454</v>
      </c>
    </row>
    <row r="14" spans="1:18" ht="30" customHeight="1">
      <c r="A14" s="1">
        <v>11</v>
      </c>
      <c r="B14" s="1" t="s">
        <v>21</v>
      </c>
      <c r="C14" s="5" t="s">
        <v>13</v>
      </c>
      <c r="D14" s="1">
        <v>773.17</v>
      </c>
      <c r="E14" s="1">
        <v>773.61</v>
      </c>
      <c r="F14" s="1">
        <f t="shared" si="0"/>
        <v>0.44000000000005457</v>
      </c>
    </row>
    <row r="15" spans="1:18" ht="30" customHeight="1">
      <c r="A15" s="1">
        <v>12</v>
      </c>
      <c r="B15" s="1" t="s">
        <v>19</v>
      </c>
      <c r="C15" s="5" t="s">
        <v>24</v>
      </c>
      <c r="D15" s="1">
        <v>776.68</v>
      </c>
      <c r="E15" s="1">
        <v>781.56</v>
      </c>
      <c r="F15" s="1">
        <f t="shared" si="0"/>
        <v>4.8799999999999955</v>
      </c>
    </row>
    <row r="16" spans="1:18" ht="30" customHeight="1">
      <c r="A16" s="1">
        <v>13</v>
      </c>
      <c r="B16" s="1" t="s">
        <v>15</v>
      </c>
      <c r="C16" s="5" t="s">
        <v>25</v>
      </c>
      <c r="D16" s="1">
        <v>785.45</v>
      </c>
      <c r="E16" s="1">
        <v>790.5</v>
      </c>
      <c r="F16" s="1">
        <f t="shared" si="0"/>
        <v>5.0499999999999545</v>
      </c>
    </row>
    <row r="17" spans="1:6" ht="30" customHeight="1">
      <c r="A17" s="1">
        <v>14</v>
      </c>
      <c r="B17" s="1" t="s">
        <v>16</v>
      </c>
      <c r="C17" s="5" t="s">
        <v>26</v>
      </c>
      <c r="D17" s="1">
        <v>794.05</v>
      </c>
      <c r="E17" s="1">
        <v>799.64</v>
      </c>
      <c r="F17" s="1">
        <f t="shared" si="0"/>
        <v>5.5900000000000318</v>
      </c>
    </row>
    <row r="18" spans="1:6" ht="30" customHeight="1">
      <c r="A18" s="1">
        <v>15</v>
      </c>
      <c r="B18" s="1" t="s">
        <v>17</v>
      </c>
      <c r="C18" s="5" t="s">
        <v>27</v>
      </c>
      <c r="D18" s="1">
        <v>803.23</v>
      </c>
      <c r="E18" s="1">
        <v>808.95</v>
      </c>
      <c r="F18" s="1">
        <f t="shared" si="0"/>
        <v>5.7200000000000273</v>
      </c>
    </row>
    <row r="19" spans="1:6" ht="30" customHeight="1">
      <c r="A19" s="1">
        <v>15</v>
      </c>
      <c r="B19" s="1" t="s">
        <v>18</v>
      </c>
      <c r="C19" s="5" t="s">
        <v>29</v>
      </c>
      <c r="D19" s="1">
        <v>814.69</v>
      </c>
      <c r="E19" s="1">
        <v>819.98</v>
      </c>
      <c r="F19" s="1">
        <f t="shared" si="0"/>
        <v>5.2899999999999636</v>
      </c>
    </row>
    <row r="20" spans="1:6">
      <c r="F20" s="12">
        <f>SUM(F4:F19)</f>
        <v>61.570000000000164</v>
      </c>
    </row>
  </sheetData>
  <mergeCells count="3">
    <mergeCell ref="A1:E1"/>
    <mergeCell ref="A2:E2"/>
    <mergeCell ref="H3:R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U21"/>
  <sheetViews>
    <sheetView tabSelected="1" topLeftCell="A10" workbookViewId="0">
      <selection activeCell="F22" sqref="F22"/>
    </sheetView>
  </sheetViews>
  <sheetFormatPr defaultColWidth="8.85546875" defaultRowHeight="15"/>
  <cols>
    <col min="1" max="1" width="6.140625" style="2" customWidth="1"/>
    <col min="2" max="2" width="11.7109375" style="2" customWidth="1"/>
    <col min="3" max="3" width="23.7109375" style="2" customWidth="1"/>
    <col min="4" max="4" width="22.85546875" style="2" hidden="1" customWidth="1"/>
    <col min="5" max="5" width="24.28515625" style="2" hidden="1" customWidth="1"/>
    <col min="6" max="6" width="24.28515625" style="12" customWidth="1"/>
    <col min="7" max="16384" width="8.85546875" style="3"/>
  </cols>
  <sheetData>
    <row r="1" spans="1:21" ht="19.899999999999999" customHeight="1">
      <c r="A1" s="24" t="s">
        <v>55</v>
      </c>
      <c r="B1" s="24"/>
      <c r="C1" s="24"/>
      <c r="D1" s="24"/>
      <c r="E1" s="24"/>
    </row>
    <row r="2" spans="1:21" ht="19.899999999999999" customHeight="1">
      <c r="A2" s="25" t="s">
        <v>2</v>
      </c>
      <c r="B2" s="25"/>
      <c r="C2" s="25"/>
      <c r="D2" s="25"/>
      <c r="E2" s="25"/>
      <c r="F2" s="18"/>
    </row>
    <row r="3" spans="1:21" s="2" customFormat="1" ht="43.15" customHeight="1">
      <c r="A3" s="1" t="s">
        <v>0</v>
      </c>
      <c r="B3" s="1" t="s">
        <v>14</v>
      </c>
      <c r="C3" s="1" t="s">
        <v>1</v>
      </c>
      <c r="D3" s="4" t="s">
        <v>22</v>
      </c>
      <c r="E3" s="20" t="s">
        <v>23</v>
      </c>
      <c r="F3" s="4" t="s">
        <v>61</v>
      </c>
      <c r="H3" s="27" t="s">
        <v>55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s="2" customFormat="1" ht="30" customHeight="1">
      <c r="A4" s="1">
        <v>1</v>
      </c>
      <c r="B4" s="1" t="s">
        <v>19</v>
      </c>
      <c r="C4" s="5" t="s">
        <v>56</v>
      </c>
      <c r="D4" s="4">
        <v>48922.783000000003</v>
      </c>
      <c r="E4" s="20">
        <v>48932.275999999998</v>
      </c>
      <c r="F4" s="4">
        <f>E4-D4</f>
        <v>9.4929999999949359</v>
      </c>
    </row>
    <row r="5" spans="1:21" ht="30" customHeight="1">
      <c r="A5" s="1">
        <v>2</v>
      </c>
      <c r="B5" s="1" t="s">
        <v>15</v>
      </c>
      <c r="C5" s="5" t="s">
        <v>3</v>
      </c>
      <c r="D5" s="1">
        <v>48935.644999999997</v>
      </c>
      <c r="E5" s="21">
        <v>48945.743999999999</v>
      </c>
      <c r="F5" s="4">
        <f>E5-D5</f>
        <v>10.099000000001979</v>
      </c>
    </row>
    <row r="6" spans="1:21" ht="30" customHeight="1">
      <c r="A6" s="1">
        <v>3</v>
      </c>
      <c r="B6" s="1" t="s">
        <v>16</v>
      </c>
      <c r="C6" s="5" t="s">
        <v>4</v>
      </c>
      <c r="D6" s="1">
        <v>48948.427000000003</v>
      </c>
      <c r="E6" s="21">
        <v>48962.474000000002</v>
      </c>
      <c r="F6" s="4">
        <f t="shared" ref="F6:F18" si="0">E6-D6</f>
        <v>14.046999999998661</v>
      </c>
    </row>
    <row r="7" spans="1:21" ht="30" customHeight="1">
      <c r="A7" s="1">
        <v>4</v>
      </c>
      <c r="B7" s="1" t="s">
        <v>17</v>
      </c>
      <c r="C7" s="5" t="s">
        <v>5</v>
      </c>
      <c r="D7" s="1">
        <v>48968.241999999998</v>
      </c>
      <c r="E7" s="21">
        <v>48982.836000000003</v>
      </c>
      <c r="F7" s="4">
        <f t="shared" si="0"/>
        <v>14.594000000004598</v>
      </c>
    </row>
    <row r="8" spans="1:21" ht="30" customHeight="1">
      <c r="A8" s="1">
        <v>5</v>
      </c>
      <c r="B8" s="1" t="s">
        <v>18</v>
      </c>
      <c r="C8" s="5" t="s">
        <v>6</v>
      </c>
      <c r="D8" s="1">
        <v>48986.553</v>
      </c>
      <c r="E8" s="23">
        <v>48996.45</v>
      </c>
      <c r="F8" s="4">
        <f t="shared" si="0"/>
        <v>9.896999999997206</v>
      </c>
    </row>
    <row r="9" spans="1:21" ht="30" customHeight="1">
      <c r="A9" s="1">
        <v>6</v>
      </c>
      <c r="B9" s="1" t="s">
        <v>19</v>
      </c>
      <c r="C9" s="5" t="s">
        <v>7</v>
      </c>
      <c r="D9" s="1">
        <v>49008.824999999997</v>
      </c>
      <c r="E9" s="21">
        <v>49025.514000000003</v>
      </c>
      <c r="F9" s="4">
        <f t="shared" si="0"/>
        <v>16.689000000005763</v>
      </c>
    </row>
    <row r="10" spans="1:21" ht="30" customHeight="1">
      <c r="A10" s="1">
        <v>7</v>
      </c>
      <c r="B10" s="1" t="s">
        <v>15</v>
      </c>
      <c r="C10" s="5" t="s">
        <v>8</v>
      </c>
      <c r="D10" s="1">
        <v>49030.949000000001</v>
      </c>
      <c r="E10" s="21">
        <v>49045.582000000002</v>
      </c>
      <c r="F10" s="4">
        <f t="shared" si="0"/>
        <v>14.63300000000163</v>
      </c>
    </row>
    <row r="11" spans="1:21" ht="30" customHeight="1">
      <c r="A11" s="1">
        <v>8</v>
      </c>
      <c r="B11" s="1" t="s">
        <v>16</v>
      </c>
      <c r="C11" s="5" t="s">
        <v>9</v>
      </c>
      <c r="D11" s="1">
        <v>49049.067999999999</v>
      </c>
      <c r="E11" s="21">
        <v>49064.656999999999</v>
      </c>
      <c r="F11" s="4">
        <f t="shared" si="0"/>
        <v>15.588999999999942</v>
      </c>
    </row>
    <row r="12" spans="1:21" ht="30" customHeight="1">
      <c r="A12" s="1">
        <v>9</v>
      </c>
      <c r="B12" s="1" t="s">
        <v>17</v>
      </c>
      <c r="C12" s="5" t="s">
        <v>10</v>
      </c>
      <c r="D12" s="1">
        <v>49068.296999999999</v>
      </c>
      <c r="E12" s="21">
        <v>49083.398000000001</v>
      </c>
      <c r="F12" s="4">
        <f t="shared" si="0"/>
        <v>15.101000000002387</v>
      </c>
    </row>
    <row r="13" spans="1:21" ht="30" customHeight="1">
      <c r="A13" s="1">
        <v>10</v>
      </c>
      <c r="B13" s="1" t="s">
        <v>18</v>
      </c>
      <c r="C13" s="5" t="s">
        <v>11</v>
      </c>
      <c r="D13" s="1">
        <v>49087.536999999997</v>
      </c>
      <c r="E13" s="21">
        <v>49099.637000000002</v>
      </c>
      <c r="F13" s="4">
        <f t="shared" si="0"/>
        <v>12.100000000005821</v>
      </c>
    </row>
    <row r="14" spans="1:21" ht="30" customHeight="1">
      <c r="A14" s="1">
        <v>11</v>
      </c>
      <c r="B14" s="1" t="s">
        <v>19</v>
      </c>
      <c r="C14" s="5" t="s">
        <v>24</v>
      </c>
      <c r="D14" s="1">
        <v>49108.196000000004</v>
      </c>
      <c r="E14" s="21">
        <v>49124.050999999999</v>
      </c>
      <c r="F14" s="4">
        <f t="shared" si="0"/>
        <v>15.854999999995925</v>
      </c>
    </row>
    <row r="15" spans="1:21" ht="30" customHeight="1">
      <c r="A15" s="1">
        <v>12</v>
      </c>
      <c r="B15" s="1" t="s">
        <v>15</v>
      </c>
      <c r="C15" s="5" t="s">
        <v>25</v>
      </c>
      <c r="D15" s="1">
        <v>49123.966</v>
      </c>
      <c r="E15" s="21">
        <v>49144.578000000001</v>
      </c>
      <c r="F15" s="4">
        <f t="shared" si="0"/>
        <v>20.61200000000099</v>
      </c>
    </row>
    <row r="16" spans="1:21" ht="30" customHeight="1">
      <c r="A16" s="1">
        <v>13</v>
      </c>
      <c r="B16" s="1" t="s">
        <v>16</v>
      </c>
      <c r="C16" s="5" t="s">
        <v>26</v>
      </c>
      <c r="D16" s="1">
        <v>49147.398000000001</v>
      </c>
      <c r="E16" s="21">
        <v>49162.711000000003</v>
      </c>
      <c r="F16" s="4">
        <f t="shared" si="0"/>
        <v>15.313000000001921</v>
      </c>
    </row>
    <row r="17" spans="1:6" ht="30" customHeight="1">
      <c r="A17" s="1">
        <v>14</v>
      </c>
      <c r="B17" s="1" t="s">
        <v>17</v>
      </c>
      <c r="C17" s="5" t="s">
        <v>27</v>
      </c>
      <c r="D17" s="1">
        <v>49166.124000000003</v>
      </c>
      <c r="E17" s="21">
        <v>49187.451000000001</v>
      </c>
      <c r="F17" s="4">
        <f t="shared" si="0"/>
        <v>21.326999999997497</v>
      </c>
    </row>
    <row r="18" spans="1:6" ht="30" customHeight="1">
      <c r="A18" s="1">
        <v>15</v>
      </c>
      <c r="B18" s="1" t="s">
        <v>18</v>
      </c>
      <c r="C18" s="5" t="s">
        <v>29</v>
      </c>
      <c r="D18" s="1">
        <v>49184.817999999999</v>
      </c>
      <c r="E18" s="21">
        <v>49203.430999999997</v>
      </c>
      <c r="F18" s="4">
        <f t="shared" si="0"/>
        <v>18.612999999997555</v>
      </c>
    </row>
    <row r="19" spans="1:6">
      <c r="C19" s="2">
        <v>1</v>
      </c>
      <c r="F19" s="1">
        <f>SUM(F4:F18)</f>
        <v>223.96200000000681</v>
      </c>
    </row>
    <row r="20" spans="1:6">
      <c r="C20" s="2">
        <v>2</v>
      </c>
      <c r="F20" s="12">
        <v>61.57</v>
      </c>
    </row>
    <row r="21" spans="1:6">
      <c r="F21" s="12">
        <f>SUM(F19:F20)</f>
        <v>285.5320000000068</v>
      </c>
    </row>
  </sheetData>
  <mergeCells count="3">
    <mergeCell ref="A1:E1"/>
    <mergeCell ref="A2:E2"/>
    <mergeCell ref="H3:U3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S77"/>
  <sheetViews>
    <sheetView topLeftCell="B64" workbookViewId="0">
      <selection activeCell="F3" sqref="F3"/>
    </sheetView>
  </sheetViews>
  <sheetFormatPr defaultColWidth="8.85546875" defaultRowHeight="15"/>
  <cols>
    <col min="1" max="1" width="6.140625" style="2" customWidth="1"/>
    <col min="2" max="2" width="11.7109375" style="2" customWidth="1"/>
    <col min="3" max="3" width="23.7109375" style="2" customWidth="1"/>
    <col min="4" max="4" width="16.85546875" style="2" hidden="1" customWidth="1"/>
    <col min="5" max="5" width="14.5703125" style="2" hidden="1" customWidth="1"/>
    <col min="6" max="6" width="21.140625" style="12" customWidth="1"/>
    <col min="7" max="9" width="8.85546875" style="3"/>
    <col min="10" max="10" width="15.42578125" style="3" customWidth="1"/>
    <col min="11" max="11" width="11.5703125" style="3" customWidth="1"/>
    <col min="12" max="16384" width="8.85546875" style="3"/>
  </cols>
  <sheetData>
    <row r="1" spans="1:19" ht="19.899999999999999" customHeight="1">
      <c r="A1" s="24" t="s">
        <v>54</v>
      </c>
      <c r="B1" s="24"/>
      <c r="C1" s="24"/>
      <c r="D1" s="24"/>
      <c r="E1" s="24"/>
    </row>
    <row r="2" spans="1:19" ht="19.899999999999999" customHeight="1">
      <c r="A2" s="25" t="s">
        <v>28</v>
      </c>
      <c r="B2" s="25"/>
      <c r="C2" s="25"/>
      <c r="D2" s="25"/>
      <c r="E2" s="25"/>
      <c r="F2" s="18"/>
    </row>
    <row r="3" spans="1:19" ht="51.75" customHeight="1">
      <c r="A3" s="1" t="s">
        <v>0</v>
      </c>
      <c r="B3" s="1" t="s">
        <v>14</v>
      </c>
      <c r="C3" s="1" t="s">
        <v>1</v>
      </c>
      <c r="D3" s="4" t="s">
        <v>22</v>
      </c>
      <c r="E3" s="4" t="s">
        <v>23</v>
      </c>
      <c r="F3" s="4" t="s">
        <v>61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19.899999999999999" customHeight="1">
      <c r="A4" s="1">
        <v>1</v>
      </c>
      <c r="B4" s="1" t="s">
        <v>20</v>
      </c>
      <c r="C4" s="5" t="s">
        <v>30</v>
      </c>
      <c r="D4" s="1">
        <v>822.53</v>
      </c>
      <c r="E4" s="1">
        <v>824.78</v>
      </c>
      <c r="F4" s="1">
        <f>E4-D4</f>
        <v>2.25</v>
      </c>
    </row>
    <row r="5" spans="1:19" ht="19.899999999999999" customHeight="1">
      <c r="A5" s="1">
        <v>2</v>
      </c>
      <c r="B5" s="1" t="s">
        <v>21</v>
      </c>
      <c r="C5" s="5" t="s">
        <v>31</v>
      </c>
      <c r="D5" s="1">
        <v>826.83</v>
      </c>
      <c r="E5" s="1">
        <v>830.11</v>
      </c>
      <c r="F5" s="1">
        <f t="shared" ref="F5:F8" si="0">E5-D5</f>
        <v>3.2799999999999727</v>
      </c>
    </row>
    <row r="6" spans="1:19" ht="19.899999999999999" customHeight="1">
      <c r="A6" s="1">
        <v>3</v>
      </c>
      <c r="B6" s="1" t="s">
        <v>19</v>
      </c>
      <c r="C6" s="5" t="s">
        <v>32</v>
      </c>
      <c r="D6" s="12">
        <v>831.3</v>
      </c>
      <c r="E6" s="1">
        <v>834.27</v>
      </c>
      <c r="F6" s="1">
        <f t="shared" si="0"/>
        <v>2.9700000000000273</v>
      </c>
    </row>
    <row r="7" spans="1:19" ht="19.899999999999999" customHeight="1">
      <c r="A7" s="1">
        <v>4</v>
      </c>
      <c r="B7" s="1" t="s">
        <v>15</v>
      </c>
      <c r="C7" s="5" t="s">
        <v>33</v>
      </c>
      <c r="D7" s="1">
        <v>837.51</v>
      </c>
      <c r="E7" s="1">
        <v>840.03</v>
      </c>
      <c r="F7" s="1">
        <f t="shared" si="0"/>
        <v>2.5199999999999818</v>
      </c>
    </row>
    <row r="8" spans="1:19" ht="19.899999999999999" customHeight="1">
      <c r="A8" s="1">
        <v>5</v>
      </c>
      <c r="B8" s="1" t="s">
        <v>16</v>
      </c>
      <c r="C8" s="5" t="s">
        <v>34</v>
      </c>
      <c r="D8" s="1">
        <v>843.73</v>
      </c>
      <c r="E8" s="1">
        <v>846.33</v>
      </c>
      <c r="F8" s="1">
        <f t="shared" si="0"/>
        <v>2.6000000000000227</v>
      </c>
    </row>
    <row r="9" spans="1:19" ht="19.899999999999999" customHeight="1">
      <c r="A9" s="1">
        <v>6</v>
      </c>
      <c r="B9" s="16" t="s">
        <v>17</v>
      </c>
      <c r="C9" s="17" t="s">
        <v>35</v>
      </c>
      <c r="D9" s="16">
        <v>849.43</v>
      </c>
      <c r="E9" s="16">
        <v>0.48</v>
      </c>
      <c r="F9" s="1">
        <v>0</v>
      </c>
      <c r="G9" s="3" t="s">
        <v>53</v>
      </c>
    </row>
    <row r="10" spans="1:19" ht="19.899999999999999" customHeight="1">
      <c r="A10" s="1">
        <v>7</v>
      </c>
      <c r="B10" s="1" t="s">
        <v>18</v>
      </c>
      <c r="C10" s="5" t="s">
        <v>36</v>
      </c>
      <c r="D10" s="1">
        <v>3.89</v>
      </c>
      <c r="E10" s="21">
        <v>6.68</v>
      </c>
      <c r="F10" s="1">
        <f>E10-D10</f>
        <v>2.7899999999999996</v>
      </c>
    </row>
    <row r="11" spans="1:19" ht="19.899999999999999" customHeight="1">
      <c r="A11" s="1">
        <v>8</v>
      </c>
      <c r="B11" s="1" t="s">
        <v>20</v>
      </c>
      <c r="C11" s="5" t="s">
        <v>37</v>
      </c>
      <c r="D11" s="1">
        <v>9.4</v>
      </c>
      <c r="E11" s="21">
        <v>10.56</v>
      </c>
      <c r="F11" s="1">
        <f t="shared" ref="F11:F25" si="1">E11-D11</f>
        <v>1.1600000000000001</v>
      </c>
    </row>
    <row r="12" spans="1:19" ht="19.899999999999999" customHeight="1">
      <c r="A12" s="1">
        <v>9</v>
      </c>
      <c r="B12" s="1" t="s">
        <v>21</v>
      </c>
      <c r="C12" s="5" t="s">
        <v>38</v>
      </c>
      <c r="D12" s="1">
        <v>13.51</v>
      </c>
      <c r="E12" s="21">
        <v>14.98</v>
      </c>
      <c r="F12" s="1">
        <f t="shared" si="1"/>
        <v>1.4700000000000006</v>
      </c>
    </row>
    <row r="13" spans="1:19" ht="19.899999999999999" customHeight="1">
      <c r="A13" s="1">
        <v>10</v>
      </c>
      <c r="B13" s="1" t="s">
        <v>19</v>
      </c>
      <c r="C13" s="5" t="s">
        <v>39</v>
      </c>
      <c r="D13" s="1">
        <v>18.52</v>
      </c>
      <c r="E13" s="21">
        <v>23.18</v>
      </c>
      <c r="F13" s="1">
        <f t="shared" si="1"/>
        <v>4.66</v>
      </c>
    </row>
    <row r="14" spans="1:19" ht="19.899999999999999" customHeight="1">
      <c r="A14" s="1">
        <v>11</v>
      </c>
      <c r="B14" s="1" t="s">
        <v>15</v>
      </c>
      <c r="C14" s="5" t="s">
        <v>40</v>
      </c>
      <c r="D14" s="9">
        <v>23.4</v>
      </c>
      <c r="E14" s="21">
        <v>25.81</v>
      </c>
      <c r="F14" s="1">
        <f t="shared" si="1"/>
        <v>2.41</v>
      </c>
    </row>
    <row r="15" spans="1:19" ht="19.899999999999999" customHeight="1">
      <c r="A15" s="1">
        <v>12</v>
      </c>
      <c r="B15" s="1" t="s">
        <v>16</v>
      </c>
      <c r="C15" s="5" t="s">
        <v>41</v>
      </c>
      <c r="D15" s="1">
        <v>29.73</v>
      </c>
      <c r="E15" s="21">
        <v>31.72</v>
      </c>
      <c r="F15" s="1">
        <f t="shared" si="1"/>
        <v>1.9899999999999984</v>
      </c>
    </row>
    <row r="16" spans="1:19" ht="19.899999999999999" customHeight="1">
      <c r="A16" s="1">
        <v>13</v>
      </c>
      <c r="B16" s="1" t="s">
        <v>17</v>
      </c>
      <c r="C16" s="5" t="s">
        <v>42</v>
      </c>
      <c r="D16" s="1">
        <v>35.24</v>
      </c>
      <c r="E16" s="21">
        <v>36.880000000000003</v>
      </c>
      <c r="F16" s="1">
        <f t="shared" si="1"/>
        <v>1.6400000000000006</v>
      </c>
    </row>
    <row r="17" spans="1:8" ht="19.899999999999999" customHeight="1">
      <c r="A17" s="1">
        <v>14</v>
      </c>
      <c r="B17" s="1" t="s">
        <v>18</v>
      </c>
      <c r="C17" s="5" t="s">
        <v>43</v>
      </c>
      <c r="D17" s="1">
        <v>40.54</v>
      </c>
      <c r="E17" s="21">
        <v>42.47</v>
      </c>
      <c r="F17" s="1">
        <f t="shared" si="1"/>
        <v>1.9299999999999997</v>
      </c>
    </row>
    <row r="18" spans="1:8" ht="19.899999999999999" customHeight="1">
      <c r="A18" s="1">
        <v>15</v>
      </c>
      <c r="B18" s="1" t="s">
        <v>20</v>
      </c>
      <c r="C18" s="5" t="s">
        <v>44</v>
      </c>
      <c r="D18" s="1">
        <v>45.44</v>
      </c>
      <c r="E18" s="21">
        <v>48.51</v>
      </c>
      <c r="F18" s="1">
        <f t="shared" si="1"/>
        <v>3.0700000000000003</v>
      </c>
    </row>
    <row r="19" spans="1:8" ht="19.899999999999999" customHeight="1">
      <c r="A19" s="1">
        <v>16</v>
      </c>
      <c r="B19" s="1" t="s">
        <v>21</v>
      </c>
      <c r="C19" s="5" t="s">
        <v>45</v>
      </c>
      <c r="D19" s="1">
        <v>49.58</v>
      </c>
      <c r="E19" s="21">
        <v>50.43</v>
      </c>
      <c r="F19" s="1">
        <f t="shared" si="1"/>
        <v>0.85000000000000142</v>
      </c>
    </row>
    <row r="20" spans="1:8" ht="19.899999999999999" customHeight="1">
      <c r="A20" s="1">
        <v>17</v>
      </c>
      <c r="B20" s="1" t="s">
        <v>15</v>
      </c>
      <c r="C20" s="5" t="s">
        <v>46</v>
      </c>
      <c r="D20" s="1">
        <v>56.76</v>
      </c>
      <c r="E20" s="21">
        <v>60.33</v>
      </c>
      <c r="F20" s="1">
        <f t="shared" si="1"/>
        <v>3.5700000000000003</v>
      </c>
    </row>
    <row r="21" spans="1:8" ht="19.899999999999999" customHeight="1">
      <c r="A21" s="1">
        <v>18</v>
      </c>
      <c r="B21" s="1" t="s">
        <v>16</v>
      </c>
      <c r="C21" s="5" t="s">
        <v>48</v>
      </c>
      <c r="D21" s="6">
        <v>64.099999999999994</v>
      </c>
      <c r="E21" s="21">
        <v>65.95</v>
      </c>
      <c r="F21" s="1">
        <f t="shared" si="1"/>
        <v>1.8500000000000085</v>
      </c>
    </row>
    <row r="22" spans="1:8" ht="19.899999999999999" customHeight="1">
      <c r="A22" s="1">
        <v>19</v>
      </c>
      <c r="B22" s="1" t="s">
        <v>17</v>
      </c>
      <c r="C22" s="5" t="s">
        <v>49</v>
      </c>
      <c r="D22" s="1">
        <v>68.900000000000006</v>
      </c>
      <c r="E22" s="21">
        <v>71.819999999999993</v>
      </c>
      <c r="F22" s="1">
        <f t="shared" si="1"/>
        <v>2.9199999999999875</v>
      </c>
    </row>
    <row r="23" spans="1:8" ht="19.899999999999999" customHeight="1">
      <c r="A23" s="1">
        <v>20</v>
      </c>
      <c r="B23" s="1" t="s">
        <v>18</v>
      </c>
      <c r="C23" s="5" t="s">
        <v>50</v>
      </c>
      <c r="D23" s="6">
        <v>75.3</v>
      </c>
      <c r="E23" s="22">
        <v>77.2</v>
      </c>
      <c r="F23" s="1">
        <f t="shared" si="1"/>
        <v>1.9000000000000057</v>
      </c>
    </row>
    <row r="24" spans="1:8" ht="19.899999999999999" customHeight="1">
      <c r="A24" s="1">
        <v>21</v>
      </c>
      <c r="B24" s="1" t="s">
        <v>20</v>
      </c>
      <c r="C24" s="5" t="s">
        <v>51</v>
      </c>
      <c r="D24" s="1">
        <v>79.88</v>
      </c>
      <c r="E24" s="22">
        <v>81</v>
      </c>
      <c r="F24" s="1">
        <f t="shared" si="1"/>
        <v>1.1200000000000045</v>
      </c>
    </row>
    <row r="25" spans="1:8" ht="19.899999999999999" customHeight="1">
      <c r="A25" s="1">
        <v>22</v>
      </c>
      <c r="B25" s="1" t="s">
        <v>21</v>
      </c>
      <c r="C25" s="5" t="s">
        <v>52</v>
      </c>
      <c r="D25" s="1">
        <v>83.84</v>
      </c>
      <c r="E25" s="21">
        <v>84.33</v>
      </c>
      <c r="F25" s="1">
        <f t="shared" si="1"/>
        <v>0.48999999999999488</v>
      </c>
    </row>
    <row r="26" spans="1:8" ht="19.899999999999999" customHeight="1">
      <c r="A26" s="12"/>
      <c r="B26" s="12"/>
      <c r="C26" s="12"/>
      <c r="D26" s="12"/>
      <c r="E26" s="12"/>
      <c r="F26" s="1">
        <f>SUM(F10:F25)</f>
        <v>33.82</v>
      </c>
    </row>
    <row r="27" spans="1:8" ht="19.899999999999999" customHeight="1">
      <c r="A27" s="13"/>
      <c r="B27" s="13"/>
      <c r="C27" s="13"/>
      <c r="D27" s="13"/>
      <c r="E27" s="13"/>
      <c r="F27" s="18"/>
    </row>
    <row r="28" spans="1:8" ht="19.899999999999999" customHeight="1">
      <c r="A28" s="13"/>
      <c r="B28" s="13"/>
      <c r="C28" s="13"/>
      <c r="D28" s="13"/>
      <c r="E28" s="13"/>
      <c r="F28" s="18"/>
    </row>
    <row r="29" spans="1:8" s="2" customFormat="1" ht="59.25" customHeight="1">
      <c r="A29" s="1" t="s">
        <v>0</v>
      </c>
      <c r="B29" s="1" t="s">
        <v>14</v>
      </c>
      <c r="C29" s="1" t="s">
        <v>1</v>
      </c>
      <c r="D29" s="4" t="s">
        <v>22</v>
      </c>
      <c r="E29" s="4" t="s">
        <v>23</v>
      </c>
      <c r="F29" s="4" t="s">
        <v>59</v>
      </c>
      <c r="H29" s="12"/>
    </row>
    <row r="30" spans="1:8" s="12" customFormat="1" ht="30.75" customHeight="1">
      <c r="A30" s="29" t="s">
        <v>60</v>
      </c>
      <c r="B30" s="29"/>
      <c r="C30" s="29"/>
      <c r="D30" s="29"/>
      <c r="E30" s="29"/>
      <c r="F30" s="30"/>
    </row>
    <row r="31" spans="1:8" ht="30" customHeight="1">
      <c r="A31" s="1">
        <v>1</v>
      </c>
      <c r="B31" s="1" t="s">
        <v>20</v>
      </c>
      <c r="C31" s="5" t="s">
        <v>30</v>
      </c>
      <c r="D31" s="1">
        <v>822.53</v>
      </c>
      <c r="E31" s="1">
        <v>824.78</v>
      </c>
      <c r="F31" s="1">
        <f>E31-D31</f>
        <v>2.25</v>
      </c>
    </row>
    <row r="32" spans="1:8" ht="30" customHeight="1">
      <c r="A32" s="1">
        <v>2</v>
      </c>
      <c r="B32" s="1" t="s">
        <v>21</v>
      </c>
      <c r="C32" s="5" t="s">
        <v>31</v>
      </c>
      <c r="D32" s="1">
        <v>826.83</v>
      </c>
      <c r="E32" s="1">
        <v>830.11</v>
      </c>
      <c r="F32" s="1">
        <f t="shared" ref="F32:F35" si="2">E32-D32</f>
        <v>3.2799999999999727</v>
      </c>
    </row>
    <row r="33" spans="1:7" ht="30" customHeight="1">
      <c r="A33" s="1">
        <v>3</v>
      </c>
      <c r="B33" s="1" t="s">
        <v>19</v>
      </c>
      <c r="C33" s="5" t="s">
        <v>32</v>
      </c>
      <c r="D33" s="2">
        <v>831.3</v>
      </c>
      <c r="E33" s="1">
        <v>834.27</v>
      </c>
      <c r="F33" s="1">
        <f t="shared" si="2"/>
        <v>2.9700000000000273</v>
      </c>
    </row>
    <row r="34" spans="1:7" ht="30" customHeight="1">
      <c r="A34" s="1">
        <v>4</v>
      </c>
      <c r="B34" s="1" t="s">
        <v>15</v>
      </c>
      <c r="C34" s="5" t="s">
        <v>33</v>
      </c>
      <c r="D34" s="1">
        <v>837.51</v>
      </c>
      <c r="E34" s="1">
        <v>840.03</v>
      </c>
      <c r="F34" s="1">
        <f t="shared" si="2"/>
        <v>2.5199999999999818</v>
      </c>
    </row>
    <row r="35" spans="1:7" ht="30" customHeight="1">
      <c r="A35" s="1">
        <v>5</v>
      </c>
      <c r="B35" s="1" t="s">
        <v>16</v>
      </c>
      <c r="C35" s="5" t="s">
        <v>34</v>
      </c>
      <c r="D35" s="1">
        <v>843.73</v>
      </c>
      <c r="E35" s="1">
        <v>846.33</v>
      </c>
      <c r="F35" s="1">
        <f t="shared" si="2"/>
        <v>2.6000000000000227</v>
      </c>
    </row>
    <row r="36" spans="1:7" ht="30" customHeight="1">
      <c r="A36" s="16">
        <v>6</v>
      </c>
      <c r="B36" s="16" t="s">
        <v>17</v>
      </c>
      <c r="C36" s="17" t="s">
        <v>35</v>
      </c>
      <c r="D36" s="16">
        <v>849.43</v>
      </c>
      <c r="E36" s="16">
        <v>0.48</v>
      </c>
      <c r="F36" s="1"/>
      <c r="G36" s="3" t="s">
        <v>53</v>
      </c>
    </row>
    <row r="37" spans="1:7" ht="30" customHeight="1">
      <c r="A37" s="15"/>
      <c r="B37" s="7"/>
      <c r="C37" s="8"/>
      <c r="D37" s="7"/>
      <c r="E37" s="7"/>
      <c r="F37" s="18"/>
    </row>
    <row r="38" spans="1:7" ht="30" customHeight="1">
      <c r="A38" s="14"/>
      <c r="B38" s="28"/>
      <c r="C38" s="28"/>
      <c r="D38" s="28"/>
      <c r="E38" s="28"/>
      <c r="F38" s="19"/>
    </row>
    <row r="39" spans="1:7" ht="52.5" customHeight="1">
      <c r="A39" s="1" t="s">
        <v>0</v>
      </c>
      <c r="B39" s="1" t="s">
        <v>14</v>
      </c>
      <c r="C39" s="1" t="s">
        <v>1</v>
      </c>
      <c r="D39" s="4" t="s">
        <v>22</v>
      </c>
      <c r="E39" s="20" t="s">
        <v>23</v>
      </c>
      <c r="F39" s="4" t="s">
        <v>59</v>
      </c>
    </row>
    <row r="40" spans="1:7" ht="27" customHeight="1">
      <c r="A40" s="29" t="s">
        <v>47</v>
      </c>
      <c r="B40" s="29"/>
      <c r="C40" s="29"/>
      <c r="D40" s="29"/>
      <c r="E40" s="29"/>
      <c r="F40" s="30"/>
    </row>
    <row r="41" spans="1:7" ht="30" customHeight="1">
      <c r="A41" s="1">
        <v>1</v>
      </c>
      <c r="B41" s="1" t="s">
        <v>18</v>
      </c>
      <c r="C41" s="5" t="s">
        <v>36</v>
      </c>
      <c r="D41" s="1">
        <v>3.89</v>
      </c>
      <c r="E41" s="21">
        <v>6.68</v>
      </c>
      <c r="F41" s="1">
        <f>E41-D41</f>
        <v>2.7899999999999996</v>
      </c>
    </row>
    <row r="42" spans="1:7" ht="30" customHeight="1">
      <c r="A42" s="1">
        <v>2</v>
      </c>
      <c r="B42" s="1" t="s">
        <v>20</v>
      </c>
      <c r="C42" s="5" t="s">
        <v>37</v>
      </c>
      <c r="D42" s="1">
        <v>9.4</v>
      </c>
      <c r="E42" s="21">
        <v>10.56</v>
      </c>
      <c r="F42" s="1">
        <f t="shared" ref="F42:F56" si="3">E42-D42</f>
        <v>1.1600000000000001</v>
      </c>
    </row>
    <row r="43" spans="1:7" ht="30" customHeight="1">
      <c r="A43" s="1">
        <v>3</v>
      </c>
      <c r="B43" s="1" t="s">
        <v>21</v>
      </c>
      <c r="C43" s="5" t="s">
        <v>38</v>
      </c>
      <c r="D43" s="1">
        <v>13.51</v>
      </c>
      <c r="E43" s="21">
        <v>14.98</v>
      </c>
      <c r="F43" s="1">
        <f t="shared" si="3"/>
        <v>1.4700000000000006</v>
      </c>
    </row>
    <row r="44" spans="1:7" ht="30" customHeight="1">
      <c r="A44" s="1">
        <v>4</v>
      </c>
      <c r="B44" s="1" t="s">
        <v>19</v>
      </c>
      <c r="C44" s="5" t="s">
        <v>39</v>
      </c>
      <c r="D44" s="1">
        <v>18.52</v>
      </c>
      <c r="E44" s="21">
        <v>23.18</v>
      </c>
      <c r="F44" s="1">
        <f t="shared" si="3"/>
        <v>4.66</v>
      </c>
    </row>
    <row r="45" spans="1:7" ht="30" customHeight="1">
      <c r="A45" s="1">
        <v>5</v>
      </c>
      <c r="B45" s="1" t="s">
        <v>15</v>
      </c>
      <c r="C45" s="5" t="s">
        <v>40</v>
      </c>
      <c r="D45" s="9">
        <v>23.4</v>
      </c>
      <c r="E45" s="21">
        <v>25.81</v>
      </c>
      <c r="F45" s="1">
        <f t="shared" si="3"/>
        <v>2.41</v>
      </c>
    </row>
    <row r="46" spans="1:7" ht="30" customHeight="1">
      <c r="A46" s="1">
        <v>6</v>
      </c>
      <c r="B46" s="1" t="s">
        <v>16</v>
      </c>
      <c r="C46" s="5" t="s">
        <v>41</v>
      </c>
      <c r="D46" s="1">
        <v>29.73</v>
      </c>
      <c r="E46" s="21">
        <v>31.72</v>
      </c>
      <c r="F46" s="1">
        <f t="shared" si="3"/>
        <v>1.9899999999999984</v>
      </c>
    </row>
    <row r="47" spans="1:7" ht="30" customHeight="1">
      <c r="A47" s="1">
        <v>7</v>
      </c>
      <c r="B47" s="1" t="s">
        <v>17</v>
      </c>
      <c r="C47" s="5" t="s">
        <v>42</v>
      </c>
      <c r="D47" s="1">
        <v>35.24</v>
      </c>
      <c r="E47" s="21">
        <v>36.880000000000003</v>
      </c>
      <c r="F47" s="1">
        <f t="shared" si="3"/>
        <v>1.6400000000000006</v>
      </c>
    </row>
    <row r="48" spans="1:7" ht="30" customHeight="1">
      <c r="A48" s="1">
        <v>8</v>
      </c>
      <c r="B48" s="1" t="s">
        <v>18</v>
      </c>
      <c r="C48" s="5" t="s">
        <v>43</v>
      </c>
      <c r="D48" s="1">
        <v>40.54</v>
      </c>
      <c r="E48" s="21">
        <v>42.47</v>
      </c>
      <c r="F48" s="1">
        <f t="shared" si="3"/>
        <v>1.9299999999999997</v>
      </c>
    </row>
    <row r="49" spans="1:11" ht="30" customHeight="1">
      <c r="A49" s="1">
        <v>9</v>
      </c>
      <c r="B49" s="1" t="s">
        <v>20</v>
      </c>
      <c r="C49" s="5" t="s">
        <v>44</v>
      </c>
      <c r="D49" s="1">
        <v>45.44</v>
      </c>
      <c r="E49" s="21">
        <v>48.51</v>
      </c>
      <c r="F49" s="1">
        <f t="shared" si="3"/>
        <v>3.0700000000000003</v>
      </c>
    </row>
    <row r="50" spans="1:11" ht="30" customHeight="1">
      <c r="A50" s="1">
        <v>10</v>
      </c>
      <c r="B50" s="1" t="s">
        <v>21</v>
      </c>
      <c r="C50" s="5" t="s">
        <v>45</v>
      </c>
      <c r="D50" s="1">
        <v>49.58</v>
      </c>
      <c r="E50" s="21">
        <v>50.43</v>
      </c>
      <c r="F50" s="1">
        <f t="shared" si="3"/>
        <v>0.85000000000000142</v>
      </c>
    </row>
    <row r="51" spans="1:11" ht="30" customHeight="1">
      <c r="A51" s="1">
        <v>11</v>
      </c>
      <c r="B51" s="1" t="s">
        <v>15</v>
      </c>
      <c r="C51" s="5" t="s">
        <v>46</v>
      </c>
      <c r="D51" s="1">
        <v>56.76</v>
      </c>
      <c r="E51" s="21">
        <v>60.33</v>
      </c>
      <c r="F51" s="1">
        <f t="shared" si="3"/>
        <v>3.5700000000000003</v>
      </c>
    </row>
    <row r="52" spans="1:11" ht="30" customHeight="1">
      <c r="A52" s="1">
        <v>12</v>
      </c>
      <c r="B52" s="1" t="s">
        <v>16</v>
      </c>
      <c r="C52" s="5" t="s">
        <v>48</v>
      </c>
      <c r="D52" s="6">
        <v>64.099999999999994</v>
      </c>
      <c r="E52" s="21">
        <v>65.95</v>
      </c>
      <c r="F52" s="1">
        <f t="shared" si="3"/>
        <v>1.8500000000000085</v>
      </c>
    </row>
    <row r="53" spans="1:11" ht="30" customHeight="1">
      <c r="A53" s="1">
        <v>13</v>
      </c>
      <c r="B53" s="1" t="s">
        <v>17</v>
      </c>
      <c r="C53" s="5" t="s">
        <v>49</v>
      </c>
      <c r="D53" s="1">
        <v>68.900000000000006</v>
      </c>
      <c r="E53" s="21">
        <v>71.819999999999993</v>
      </c>
      <c r="F53" s="1">
        <f t="shared" si="3"/>
        <v>2.9199999999999875</v>
      </c>
    </row>
    <row r="54" spans="1:11" ht="30" customHeight="1">
      <c r="A54" s="1">
        <v>14</v>
      </c>
      <c r="B54" s="1" t="s">
        <v>18</v>
      </c>
      <c r="C54" s="5" t="s">
        <v>50</v>
      </c>
      <c r="D54" s="6">
        <v>75.3</v>
      </c>
      <c r="E54" s="22">
        <v>77.2</v>
      </c>
      <c r="F54" s="1">
        <f t="shared" si="3"/>
        <v>1.9000000000000057</v>
      </c>
    </row>
    <row r="55" spans="1:11" ht="30" customHeight="1">
      <c r="A55" s="1">
        <v>15</v>
      </c>
      <c r="B55" s="1" t="s">
        <v>20</v>
      </c>
      <c r="C55" s="5" t="s">
        <v>51</v>
      </c>
      <c r="D55" s="1">
        <v>79.88</v>
      </c>
      <c r="E55" s="22">
        <v>81</v>
      </c>
      <c r="F55" s="1">
        <f t="shared" si="3"/>
        <v>1.1200000000000045</v>
      </c>
    </row>
    <row r="56" spans="1:11" ht="30" customHeight="1">
      <c r="A56" s="1">
        <v>16</v>
      </c>
      <c r="B56" s="1" t="s">
        <v>21</v>
      </c>
      <c r="C56" s="5" t="s">
        <v>52</v>
      </c>
      <c r="D56" s="1">
        <v>83.84</v>
      </c>
      <c r="E56" s="21">
        <v>84.33</v>
      </c>
      <c r="F56" s="1">
        <f t="shared" si="3"/>
        <v>0.48999999999999488</v>
      </c>
    </row>
    <row r="57" spans="1:11">
      <c r="F57" s="1">
        <f>SUM(F41:F56)</f>
        <v>33.82</v>
      </c>
    </row>
    <row r="61" spans="1:11">
      <c r="A61" s="1">
        <v>1</v>
      </c>
      <c r="B61" s="1" t="s">
        <v>18</v>
      </c>
      <c r="C61" s="5" t="s">
        <v>36</v>
      </c>
      <c r="D61" s="1">
        <v>3.89</v>
      </c>
      <c r="E61" s="1">
        <v>6.68</v>
      </c>
      <c r="F61" s="18">
        <f>E61-D61</f>
        <v>2.7899999999999996</v>
      </c>
      <c r="G61" s="1">
        <v>1</v>
      </c>
      <c r="H61" s="1"/>
      <c r="I61" s="1" t="s">
        <v>18</v>
      </c>
      <c r="J61" s="5" t="s">
        <v>36</v>
      </c>
      <c r="K61" s="18">
        <f>E61-D61</f>
        <v>2.7899999999999996</v>
      </c>
    </row>
    <row r="62" spans="1:11">
      <c r="A62" s="1">
        <v>2</v>
      </c>
      <c r="B62" s="1" t="s">
        <v>20</v>
      </c>
      <c r="C62" s="5" t="s">
        <v>37</v>
      </c>
      <c r="D62" s="1">
        <v>9.4</v>
      </c>
      <c r="E62" s="1">
        <v>10.56</v>
      </c>
      <c r="F62" s="18">
        <f t="shared" ref="F62:F76" si="4">E62-D62</f>
        <v>1.1600000000000001</v>
      </c>
      <c r="G62" s="1">
        <v>2</v>
      </c>
      <c r="H62" s="1"/>
      <c r="I62" s="1" t="s">
        <v>20</v>
      </c>
      <c r="J62" s="5" t="s">
        <v>37</v>
      </c>
      <c r="K62" s="18">
        <f t="shared" ref="K62:K76" si="5">E62-D62</f>
        <v>1.1600000000000001</v>
      </c>
    </row>
    <row r="63" spans="1:11">
      <c r="A63" s="1">
        <v>3</v>
      </c>
      <c r="B63" s="1" t="s">
        <v>21</v>
      </c>
      <c r="C63" s="5" t="s">
        <v>38</v>
      </c>
      <c r="D63" s="1">
        <v>13.51</v>
      </c>
      <c r="E63" s="1">
        <v>14.98</v>
      </c>
      <c r="F63" s="18">
        <f t="shared" si="4"/>
        <v>1.4700000000000006</v>
      </c>
      <c r="G63" s="1">
        <v>3</v>
      </c>
      <c r="H63" s="1"/>
      <c r="I63" s="1" t="s">
        <v>21</v>
      </c>
      <c r="J63" s="5" t="s">
        <v>38</v>
      </c>
      <c r="K63" s="18">
        <f t="shared" si="5"/>
        <v>1.4700000000000006</v>
      </c>
    </row>
    <row r="64" spans="1:11">
      <c r="A64" s="1">
        <v>4</v>
      </c>
      <c r="B64" s="1" t="s">
        <v>19</v>
      </c>
      <c r="C64" s="5" t="s">
        <v>39</v>
      </c>
      <c r="D64" s="1">
        <v>18.52</v>
      </c>
      <c r="E64" s="1">
        <v>23.18</v>
      </c>
      <c r="F64" s="18">
        <f t="shared" si="4"/>
        <v>4.66</v>
      </c>
      <c r="G64" s="1">
        <v>4</v>
      </c>
      <c r="H64" s="1"/>
      <c r="I64" s="1" t="s">
        <v>19</v>
      </c>
      <c r="J64" s="5" t="s">
        <v>39</v>
      </c>
      <c r="K64" s="18">
        <f t="shared" si="5"/>
        <v>4.66</v>
      </c>
    </row>
    <row r="65" spans="1:11">
      <c r="A65" s="1">
        <v>5</v>
      </c>
      <c r="B65" s="1" t="s">
        <v>15</v>
      </c>
      <c r="C65" s="5" t="s">
        <v>40</v>
      </c>
      <c r="D65" s="9">
        <v>23.4</v>
      </c>
      <c r="E65" s="1">
        <v>25.81</v>
      </c>
      <c r="F65" s="18">
        <f t="shared" si="4"/>
        <v>2.41</v>
      </c>
      <c r="G65" s="1">
        <v>5</v>
      </c>
      <c r="H65" s="1"/>
      <c r="I65" s="1" t="s">
        <v>15</v>
      </c>
      <c r="J65" s="5" t="s">
        <v>40</v>
      </c>
      <c r="K65" s="18">
        <f t="shared" si="5"/>
        <v>2.41</v>
      </c>
    </row>
    <row r="66" spans="1:11">
      <c r="A66" s="1">
        <v>6</v>
      </c>
      <c r="B66" s="1" t="s">
        <v>16</v>
      </c>
      <c r="C66" s="5" t="s">
        <v>41</v>
      </c>
      <c r="D66" s="1">
        <v>29.73</v>
      </c>
      <c r="E66" s="1">
        <v>31.72</v>
      </c>
      <c r="F66" s="18">
        <f t="shared" si="4"/>
        <v>1.9899999999999984</v>
      </c>
      <c r="G66" s="1">
        <v>6</v>
      </c>
      <c r="H66" s="1"/>
      <c r="I66" s="1" t="s">
        <v>16</v>
      </c>
      <c r="J66" s="5" t="s">
        <v>41</v>
      </c>
      <c r="K66" s="18">
        <f t="shared" si="5"/>
        <v>1.9899999999999984</v>
      </c>
    </row>
    <row r="67" spans="1:11">
      <c r="A67" s="1">
        <v>7</v>
      </c>
      <c r="B67" s="1" t="s">
        <v>17</v>
      </c>
      <c r="C67" s="5" t="s">
        <v>42</v>
      </c>
      <c r="D67" s="1">
        <v>35.24</v>
      </c>
      <c r="E67" s="1">
        <v>36.880000000000003</v>
      </c>
      <c r="F67" s="18">
        <f t="shared" si="4"/>
        <v>1.6400000000000006</v>
      </c>
      <c r="G67" s="1">
        <v>7</v>
      </c>
      <c r="H67" s="1"/>
      <c r="I67" s="1" t="s">
        <v>17</v>
      </c>
      <c r="J67" s="5" t="s">
        <v>42</v>
      </c>
      <c r="K67" s="18">
        <f t="shared" si="5"/>
        <v>1.6400000000000006</v>
      </c>
    </row>
    <row r="68" spans="1:11">
      <c r="A68" s="1">
        <v>8</v>
      </c>
      <c r="B68" s="1" t="s">
        <v>18</v>
      </c>
      <c r="C68" s="5" t="s">
        <v>43</v>
      </c>
      <c r="D68" s="1">
        <v>40.54</v>
      </c>
      <c r="E68" s="1">
        <v>42.47</v>
      </c>
      <c r="F68" s="18">
        <f t="shared" si="4"/>
        <v>1.9299999999999997</v>
      </c>
      <c r="G68" s="1">
        <v>8</v>
      </c>
      <c r="H68" s="1"/>
      <c r="I68" s="1" t="s">
        <v>18</v>
      </c>
      <c r="J68" s="5" t="s">
        <v>43</v>
      </c>
      <c r="K68" s="18">
        <f t="shared" si="5"/>
        <v>1.9299999999999997</v>
      </c>
    </row>
    <row r="69" spans="1:11">
      <c r="A69" s="1">
        <v>9</v>
      </c>
      <c r="B69" s="1" t="s">
        <v>20</v>
      </c>
      <c r="C69" s="5" t="s">
        <v>44</v>
      </c>
      <c r="D69" s="1">
        <v>45.44</v>
      </c>
      <c r="E69" s="1">
        <v>48.51</v>
      </c>
      <c r="F69" s="18">
        <f t="shared" si="4"/>
        <v>3.0700000000000003</v>
      </c>
      <c r="G69" s="1">
        <v>9</v>
      </c>
      <c r="H69" s="1"/>
      <c r="I69" s="1" t="s">
        <v>20</v>
      </c>
      <c r="J69" s="5" t="s">
        <v>44</v>
      </c>
      <c r="K69" s="18">
        <f t="shared" si="5"/>
        <v>3.0700000000000003</v>
      </c>
    </row>
    <row r="70" spans="1:11">
      <c r="A70" s="1">
        <v>10</v>
      </c>
      <c r="B70" s="1" t="s">
        <v>21</v>
      </c>
      <c r="C70" s="5" t="s">
        <v>45</v>
      </c>
      <c r="D70" s="1">
        <v>49.58</v>
      </c>
      <c r="E70" s="1">
        <v>50.43</v>
      </c>
      <c r="F70" s="18">
        <f t="shared" si="4"/>
        <v>0.85000000000000142</v>
      </c>
      <c r="G70" s="1">
        <v>10</v>
      </c>
      <c r="H70" s="1"/>
      <c r="I70" s="1" t="s">
        <v>21</v>
      </c>
      <c r="J70" s="5" t="s">
        <v>45</v>
      </c>
      <c r="K70" s="18">
        <f t="shared" si="5"/>
        <v>0.85000000000000142</v>
      </c>
    </row>
    <row r="71" spans="1:11">
      <c r="A71" s="1">
        <v>11</v>
      </c>
      <c r="B71" s="1" t="s">
        <v>15</v>
      </c>
      <c r="C71" s="5" t="s">
        <v>46</v>
      </c>
      <c r="D71" s="1">
        <v>56.76</v>
      </c>
      <c r="E71" s="1">
        <v>60.33</v>
      </c>
      <c r="F71" s="18">
        <f t="shared" si="4"/>
        <v>3.5700000000000003</v>
      </c>
      <c r="G71" s="1">
        <v>11</v>
      </c>
      <c r="H71" s="1"/>
      <c r="I71" s="1" t="s">
        <v>15</v>
      </c>
      <c r="J71" s="5" t="s">
        <v>46</v>
      </c>
      <c r="K71" s="18">
        <f t="shared" si="5"/>
        <v>3.5700000000000003</v>
      </c>
    </row>
    <row r="72" spans="1:11">
      <c r="A72" s="1">
        <v>12</v>
      </c>
      <c r="B72" s="1" t="s">
        <v>16</v>
      </c>
      <c r="C72" s="5" t="s">
        <v>48</v>
      </c>
      <c r="D72" s="6">
        <v>64.099999999999994</v>
      </c>
      <c r="E72" s="1">
        <v>65.95</v>
      </c>
      <c r="F72" s="18">
        <f t="shared" si="4"/>
        <v>1.8500000000000085</v>
      </c>
      <c r="G72" s="1">
        <v>12</v>
      </c>
      <c r="H72" s="1"/>
      <c r="I72" s="1" t="s">
        <v>16</v>
      </c>
      <c r="J72" s="5" t="s">
        <v>48</v>
      </c>
      <c r="K72" s="18">
        <f t="shared" si="5"/>
        <v>1.8500000000000085</v>
      </c>
    </row>
    <row r="73" spans="1:11">
      <c r="A73" s="1">
        <v>13</v>
      </c>
      <c r="B73" s="1" t="s">
        <v>17</v>
      </c>
      <c r="C73" s="5" t="s">
        <v>49</v>
      </c>
      <c r="D73" s="1">
        <v>68.900000000000006</v>
      </c>
      <c r="E73" s="1">
        <v>71.819999999999993</v>
      </c>
      <c r="F73" s="18">
        <f t="shared" si="4"/>
        <v>2.9199999999999875</v>
      </c>
      <c r="G73" s="1">
        <v>13</v>
      </c>
      <c r="H73" s="1"/>
      <c r="I73" s="1" t="s">
        <v>17</v>
      </c>
      <c r="J73" s="5" t="s">
        <v>49</v>
      </c>
      <c r="K73" s="18">
        <f t="shared" si="5"/>
        <v>2.9199999999999875</v>
      </c>
    </row>
    <row r="74" spans="1:11">
      <c r="A74" s="1">
        <v>14</v>
      </c>
      <c r="B74" s="1" t="s">
        <v>18</v>
      </c>
      <c r="C74" s="5" t="s">
        <v>50</v>
      </c>
      <c r="D74" s="6">
        <v>75.3</v>
      </c>
      <c r="E74" s="6">
        <v>77.2</v>
      </c>
      <c r="F74" s="18">
        <f t="shared" si="4"/>
        <v>1.9000000000000057</v>
      </c>
      <c r="G74" s="1">
        <v>14</v>
      </c>
      <c r="H74" s="1"/>
      <c r="I74" s="1" t="s">
        <v>18</v>
      </c>
      <c r="J74" s="5" t="s">
        <v>50</v>
      </c>
      <c r="K74" s="18">
        <f t="shared" si="5"/>
        <v>1.9000000000000057</v>
      </c>
    </row>
    <row r="75" spans="1:11">
      <c r="A75" s="1">
        <v>15</v>
      </c>
      <c r="B75" s="1" t="s">
        <v>20</v>
      </c>
      <c r="C75" s="5" t="s">
        <v>51</v>
      </c>
      <c r="D75" s="1">
        <v>79.88</v>
      </c>
      <c r="E75" s="6">
        <v>81</v>
      </c>
      <c r="F75" s="18">
        <f t="shared" si="4"/>
        <v>1.1200000000000045</v>
      </c>
      <c r="G75" s="1">
        <v>15</v>
      </c>
      <c r="H75" s="1"/>
      <c r="I75" s="1" t="s">
        <v>20</v>
      </c>
      <c r="J75" s="5" t="s">
        <v>51</v>
      </c>
      <c r="K75" s="18">
        <f t="shared" si="5"/>
        <v>1.1200000000000045</v>
      </c>
    </row>
    <row r="76" spans="1:11">
      <c r="A76" s="1">
        <v>16</v>
      </c>
      <c r="B76" s="1" t="s">
        <v>21</v>
      </c>
      <c r="C76" s="5" t="s">
        <v>52</v>
      </c>
      <c r="D76" s="1">
        <v>83.84</v>
      </c>
      <c r="E76" s="1">
        <v>84.33</v>
      </c>
      <c r="F76" s="18">
        <f t="shared" si="4"/>
        <v>0.48999999999999488</v>
      </c>
      <c r="G76" s="1">
        <v>16</v>
      </c>
      <c r="H76" s="1"/>
      <c r="I76" s="1" t="s">
        <v>21</v>
      </c>
      <c r="J76" s="5" t="s">
        <v>52</v>
      </c>
      <c r="K76" s="18">
        <f t="shared" si="5"/>
        <v>0.48999999999999488</v>
      </c>
    </row>
    <row r="77" spans="1:11">
      <c r="F77" s="12">
        <f>SUM(F61:F76)</f>
        <v>33.82</v>
      </c>
    </row>
  </sheetData>
  <mergeCells count="5">
    <mergeCell ref="A1:E1"/>
    <mergeCell ref="A2:E2"/>
    <mergeCell ref="B38:E38"/>
    <mergeCell ref="A40:F40"/>
    <mergeCell ref="A30:F3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F21"/>
  <sheetViews>
    <sheetView topLeftCell="A10" workbookViewId="0">
      <selection activeCell="F22" sqref="F22"/>
    </sheetView>
  </sheetViews>
  <sheetFormatPr defaultColWidth="8.85546875" defaultRowHeight="15"/>
  <cols>
    <col min="1" max="1" width="6.140625" style="2" customWidth="1"/>
    <col min="2" max="2" width="11.7109375" style="2" customWidth="1"/>
    <col min="3" max="3" width="23.7109375" style="2" customWidth="1"/>
    <col min="4" max="4" width="22.85546875" style="2" hidden="1" customWidth="1"/>
    <col min="5" max="5" width="24.28515625" style="2" hidden="1" customWidth="1"/>
    <col min="6" max="6" width="24.28515625" style="12" customWidth="1"/>
    <col min="7" max="16384" width="8.85546875" style="3"/>
  </cols>
  <sheetData>
    <row r="1" spans="1:6" ht="19.899999999999999" customHeight="1">
      <c r="A1" s="24" t="s">
        <v>55</v>
      </c>
      <c r="B1" s="24"/>
      <c r="C1" s="24"/>
      <c r="D1" s="24"/>
      <c r="E1" s="24"/>
      <c r="F1" s="24"/>
    </row>
    <row r="2" spans="1:6" ht="19.899999999999999" customHeight="1">
      <c r="A2" s="25" t="s">
        <v>28</v>
      </c>
      <c r="B2" s="25"/>
      <c r="C2" s="25"/>
      <c r="D2" s="25"/>
      <c r="E2" s="25"/>
      <c r="F2" s="25"/>
    </row>
    <row r="3" spans="1:6" s="2" customFormat="1" ht="43.15" customHeight="1">
      <c r="A3" s="1" t="s">
        <v>0</v>
      </c>
      <c r="B3" s="1" t="s">
        <v>14</v>
      </c>
      <c r="C3" s="1" t="s">
        <v>1</v>
      </c>
      <c r="D3" s="4" t="s">
        <v>22</v>
      </c>
      <c r="E3" s="4" t="s">
        <v>23</v>
      </c>
      <c r="F3" s="4" t="s">
        <v>61</v>
      </c>
    </row>
    <row r="4" spans="1:6" ht="30" customHeight="1">
      <c r="A4" s="1">
        <v>1</v>
      </c>
      <c r="B4" s="1" t="s">
        <v>19</v>
      </c>
      <c r="C4" s="5" t="s">
        <v>32</v>
      </c>
      <c r="D4" s="2">
        <v>49213.207000000002</v>
      </c>
      <c r="E4" s="1">
        <v>49231.894999999997</v>
      </c>
      <c r="F4" s="1">
        <f>E4-D4</f>
        <v>18.687999999994645</v>
      </c>
    </row>
    <row r="5" spans="1:6" ht="30" customHeight="1">
      <c r="A5" s="1">
        <v>2</v>
      </c>
      <c r="B5" s="1" t="s">
        <v>15</v>
      </c>
      <c r="C5" s="5" t="s">
        <v>33</v>
      </c>
      <c r="D5" s="1">
        <v>49235.453999999998</v>
      </c>
      <c r="E5" s="1">
        <v>49254.788</v>
      </c>
      <c r="F5" s="1">
        <f t="shared" ref="F5:F18" si="0">E5-D5</f>
        <v>19.334000000002561</v>
      </c>
    </row>
    <row r="6" spans="1:6" ht="30" customHeight="1">
      <c r="A6" s="1">
        <v>3</v>
      </c>
      <c r="B6" s="1" t="s">
        <v>16</v>
      </c>
      <c r="C6" s="5" t="s">
        <v>34</v>
      </c>
      <c r="D6" s="1">
        <v>49257.375</v>
      </c>
      <c r="E6" s="1">
        <v>49277.15</v>
      </c>
      <c r="F6" s="1">
        <f t="shared" si="0"/>
        <v>19.775000000001455</v>
      </c>
    </row>
    <row r="7" spans="1:6" ht="30" customHeight="1">
      <c r="A7" s="1">
        <v>4</v>
      </c>
      <c r="B7" s="1" t="s">
        <v>17</v>
      </c>
      <c r="C7" s="5" t="s">
        <v>35</v>
      </c>
      <c r="D7" s="1">
        <v>49288.817999999999</v>
      </c>
      <c r="E7" s="1">
        <v>49298.516000000003</v>
      </c>
      <c r="F7" s="1">
        <f t="shared" si="0"/>
        <v>9.6980000000039581</v>
      </c>
    </row>
    <row r="8" spans="1:6" ht="30" customHeight="1">
      <c r="A8" s="1">
        <v>5</v>
      </c>
      <c r="B8" s="1" t="s">
        <v>18</v>
      </c>
      <c r="C8" s="5" t="s">
        <v>36</v>
      </c>
      <c r="D8" s="1">
        <v>49302.896999999997</v>
      </c>
      <c r="E8" s="1">
        <v>49324.377999999997</v>
      </c>
      <c r="F8" s="1">
        <f t="shared" si="0"/>
        <v>21.480999999999767</v>
      </c>
    </row>
    <row r="9" spans="1:6" ht="30" customHeight="1">
      <c r="A9" s="1">
        <v>6</v>
      </c>
      <c r="B9" s="1" t="s">
        <v>19</v>
      </c>
      <c r="C9" s="5" t="s">
        <v>39</v>
      </c>
      <c r="D9" s="1">
        <v>49337.48</v>
      </c>
      <c r="E9" s="1">
        <v>49350.650999999998</v>
      </c>
      <c r="F9" s="1">
        <f t="shared" si="0"/>
        <v>13.17099999999482</v>
      </c>
    </row>
    <row r="10" spans="1:6" ht="30" customHeight="1">
      <c r="A10" s="1">
        <v>7</v>
      </c>
      <c r="B10" s="1" t="s">
        <v>15</v>
      </c>
      <c r="C10" s="5" t="s">
        <v>40</v>
      </c>
      <c r="D10" s="11">
        <v>49356.466</v>
      </c>
      <c r="E10" s="1">
        <v>49366.012000000002</v>
      </c>
      <c r="F10" s="1">
        <f t="shared" si="0"/>
        <v>9.5460000000020955</v>
      </c>
    </row>
    <row r="11" spans="1:6" ht="30" customHeight="1">
      <c r="A11" s="1">
        <v>8</v>
      </c>
      <c r="B11" s="1" t="s">
        <v>16</v>
      </c>
      <c r="C11" s="5" t="s">
        <v>41</v>
      </c>
      <c r="D11" s="1">
        <v>49373.877</v>
      </c>
      <c r="E11" s="1">
        <v>49386.235000000001</v>
      </c>
      <c r="F11" s="1">
        <f t="shared" si="0"/>
        <v>12.358000000000175</v>
      </c>
    </row>
    <row r="12" spans="1:6" ht="30" customHeight="1">
      <c r="A12" s="1">
        <v>9</v>
      </c>
      <c r="B12" s="1" t="s">
        <v>17</v>
      </c>
      <c r="C12" s="5" t="s">
        <v>42</v>
      </c>
      <c r="D12" s="1">
        <v>49389.506999999998</v>
      </c>
      <c r="E12" s="1">
        <v>49404.817999999999</v>
      </c>
      <c r="F12" s="1">
        <f t="shared" si="0"/>
        <v>15.311000000001513</v>
      </c>
    </row>
    <row r="13" spans="1:6" ht="30" customHeight="1">
      <c r="A13" s="1">
        <v>10</v>
      </c>
      <c r="B13" s="1" t="s">
        <v>18</v>
      </c>
      <c r="C13" s="5" t="s">
        <v>43</v>
      </c>
      <c r="D13" s="1">
        <v>49408.671000000002</v>
      </c>
      <c r="E13" s="1">
        <v>49421.563000000002</v>
      </c>
      <c r="F13" s="1">
        <f t="shared" si="0"/>
        <v>12.891999999999825</v>
      </c>
    </row>
    <row r="14" spans="1:6" ht="30" customHeight="1">
      <c r="A14" s="1">
        <v>11</v>
      </c>
      <c r="B14" s="1" t="s">
        <v>15</v>
      </c>
      <c r="C14" s="5" t="s">
        <v>46</v>
      </c>
      <c r="D14" s="1">
        <v>49443.805999999997</v>
      </c>
      <c r="E14" s="1">
        <v>49455.381000000001</v>
      </c>
      <c r="F14" s="1">
        <f t="shared" si="0"/>
        <v>11.575000000004366</v>
      </c>
    </row>
    <row r="15" spans="1:6" ht="30" customHeight="1">
      <c r="A15" s="1">
        <v>12</v>
      </c>
      <c r="B15" s="1" t="s">
        <v>16</v>
      </c>
      <c r="C15" s="5" t="s">
        <v>48</v>
      </c>
      <c r="D15" s="10">
        <v>49458.898000000001</v>
      </c>
      <c r="E15" s="1">
        <v>49474.464999999997</v>
      </c>
      <c r="F15" s="1">
        <f t="shared" si="0"/>
        <v>15.56699999999546</v>
      </c>
    </row>
    <row r="16" spans="1:6" ht="30" customHeight="1">
      <c r="A16" s="1">
        <v>13</v>
      </c>
      <c r="B16" s="1" t="s">
        <v>17</v>
      </c>
      <c r="C16" s="5" t="s">
        <v>49</v>
      </c>
      <c r="D16" s="1">
        <v>49477.680999999997</v>
      </c>
      <c r="E16" s="1">
        <v>49499.781000000003</v>
      </c>
      <c r="F16" s="1">
        <f t="shared" si="0"/>
        <v>22.100000000005821</v>
      </c>
    </row>
    <row r="17" spans="1:6" ht="30" customHeight="1">
      <c r="A17" s="1">
        <v>14</v>
      </c>
      <c r="B17" s="1" t="s">
        <v>18</v>
      </c>
      <c r="C17" s="5" t="s">
        <v>50</v>
      </c>
      <c r="D17" s="10">
        <v>49499.815999999999</v>
      </c>
      <c r="E17" s="10">
        <v>49518.671000000002</v>
      </c>
      <c r="F17" s="1">
        <f t="shared" si="0"/>
        <v>18.855000000003201</v>
      </c>
    </row>
    <row r="18" spans="1:6" ht="30" customHeight="1">
      <c r="A18" s="1">
        <v>15</v>
      </c>
      <c r="B18" s="1" t="s">
        <v>19</v>
      </c>
      <c r="C18" s="5" t="s">
        <v>57</v>
      </c>
      <c r="D18" s="1">
        <v>49529.114999999998</v>
      </c>
      <c r="E18" s="10">
        <v>49542.512000000002</v>
      </c>
      <c r="F18" s="1">
        <f t="shared" si="0"/>
        <v>13.397000000004482</v>
      </c>
    </row>
    <row r="19" spans="1:6">
      <c r="C19" s="2">
        <v>1</v>
      </c>
      <c r="F19" s="12">
        <f>SUM(F4:F18)</f>
        <v>233.74800000001414</v>
      </c>
    </row>
    <row r="20" spans="1:6">
      <c r="C20" s="2">
        <v>2</v>
      </c>
      <c r="F20" s="12">
        <v>33.82</v>
      </c>
    </row>
    <row r="21" spans="1:6">
      <c r="F21" s="12">
        <f>SUM(F19:F20)</f>
        <v>267.56800000001414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JULI (METERAN 1)</vt:lpstr>
      <vt:lpstr>JULI (METERAN 2)</vt:lpstr>
      <vt:lpstr>AGUSTUS (METERAN 1)</vt:lpstr>
      <vt:lpstr>AGUSTUS (METERAN 2)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Suhaini SMTI Pontianak</dc:creator>
  <cp:lastModifiedBy>user</cp:lastModifiedBy>
  <dcterms:created xsi:type="dcterms:W3CDTF">2026-08-26T05:48:18Z</dcterms:created>
  <dcterms:modified xsi:type="dcterms:W3CDTF">2026-09-01T09:40:17Z</dcterms:modified>
</cp:coreProperties>
</file>